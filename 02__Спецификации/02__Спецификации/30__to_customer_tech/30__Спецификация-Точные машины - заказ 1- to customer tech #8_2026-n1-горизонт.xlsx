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6__LLS_Horizon_2025/CONTRACT/2026/8_2026-N1-Горизонт/02__Спецификации/02__Спецификации/30__to_customer_tech/"/>
    </mc:Choice>
  </mc:AlternateContent>
  <xr:revisionPtr revIDLastSave="190" documentId="8_{4485C22C-7301-42E6-AB06-00A2E236CAAB}" xr6:coauthVersionLast="47" xr6:coauthVersionMax="47" xr10:uidLastSave="{9856B5C7-97E1-4D94-AB39-C15867547A70}"/>
  <bookViews>
    <workbookView xWindow="14796" yWindow="3204" windowWidth="27888" windowHeight="19800" tabRatio="597" xr2:uid="{00000000-000D-0000-FFFF-FFFF00000000}"/>
  </bookViews>
  <sheets>
    <sheet name="SpecificationToCustomerTech" sheetId="44" r:id="rId1"/>
    <sheet name="TableSchema" sheetId="18" state="hidden" r:id="rId2"/>
    <sheet name="ConfigJSON" sheetId="17" state="hidden" r:id="rId3"/>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ExternalData_1" localSheetId="0" hidden="1">SpecificationToCustomerTech!$A$1:$G$9</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F4F5C14C-3CE1-4676-BB6E-59D256E975D8}" keepAlive="1" name="Запрос — Вызванная функцияProcessingTable" description="Соединение с запросом &quot;Вызванная функцияProcessingTable&quot; в книге." type="5" refreshedVersion="8" background="1" saveData="1">
    <dbPr connection="Provider=Microsoft.Mashup.OleDb.1;Data Source=$Workbook$;Location=&quot;Вызванная функцияProcessingTable&quot;;Extended Properties=&quot;&quot;" command="SELECT * FROM [Вызванная функцияProcessingTable]"/>
  </connection>
</connections>
</file>

<file path=xl/sharedStrings.xml><?xml version="1.0" encoding="utf-8"?>
<sst xmlns="http://schemas.openxmlformats.org/spreadsheetml/2006/main" count="221" uniqueCount="107">
  <si>
    <t>IDnum</t>
  </si>
  <si>
    <t>NUM FULL SET</t>
  </si>
  <si>
    <t>NAME PRODUCT</t>
  </si>
  <si>
    <t>DESCRIPTION PRODUCT</t>
  </si>
  <si>
    <t>UNITS</t>
  </si>
  <si>
    <t>QUANTITY TOTAL</t>
  </si>
  <si>
    <t>true</t>
  </si>
  <si>
    <t>шт</t>
  </si>
  <si>
    <t>false</t>
  </si>
  <si>
    <t>PRICE UNIT $TOTAL</t>
  </si>
  <si>
    <t>COST $TOTAL</t>
  </si>
  <si>
    <t>DURATION SALE $TOTAL</t>
  </si>
  <si>
    <t>COMMENT CUSTOMER</t>
  </si>
  <si>
    <t>none</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</si>
  <si>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</si>
  <si>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</si>
  <si>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</si>
  <si>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</si>
  <si>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</si>
  <si>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</si>
  <si>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</si>
  <si>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</si>
  <si>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</si>
  <si>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</si>
  <si>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</si>
  <si>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</si>
  <si>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</si>
  <si>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</si>
  <si>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</si>
  <si>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</si>
  <si>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</si>
  <si>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int</t>
  </si>
  <si>
    <t>Числовой</t>
  </si>
  <si>
    <t>center</t>
  </si>
  <si>
    <t>text</t>
  </si>
  <si>
    <t>Текстовый</t>
  </si>
  <si>
    <t>[1, 50]</t>
  </si>
  <si>
    <t>up</t>
  </si>
  <si>
    <t>left</t>
  </si>
  <si>
    <t>Общий</t>
  </si>
  <si>
    <t>Полный порядковый номер позиции, состоящий из номер комплекта и номера порядкового в комплекте</t>
  </si>
  <si>
    <t>НАИМЕНОВАНИЕ</t>
  </si>
  <si>
    <t>[3, 300]</t>
  </si>
  <si>
    <t>Наименование позиции</t>
  </si>
  <si>
    <t>ОПИСАНИЕ/ХАРАКТЕРИСТИКИ</t>
  </si>
  <si>
    <t>[10, 1000]</t>
  </si>
  <si>
    <t>Технические характеристики позиции</t>
  </si>
  <si>
    <t>ЕД ИЗМ</t>
  </si>
  <si>
    <t>[0, 2]</t>
  </si>
  <si>
    <t>Единицы измерения из справочника</t>
  </si>
  <si>
    <t>Итоговое количество по данной позиции в поставке</t>
  </si>
  <si>
    <t>float</t>
  </si>
  <si>
    <t>down</t>
  </si>
  <si>
    <t>right</t>
  </si>
  <si>
    <t>[1, 5000000]</t>
  </si>
  <si>
    <t>Итоговая цена по позиции - реализация</t>
  </si>
  <si>
    <t>Итоговая стоимость по позиции - реализация</t>
  </si>
  <si>
    <t>Длительность в календарных днях реализации товара или услуги</t>
  </si>
  <si>
    <t>ПРИМЕЧАНИЕ ЗАКАЗЧИК</t>
  </si>
  <si>
    <t>[0, 3000]</t>
  </si>
  <si>
    <t>IDconfig</t>
  </si>
  <si>
    <t>CONFIG_JSON</t>
  </si>
  <si>
    <t>COST ADD VAT $TOTAL</t>
  </si>
  <si>
    <t>[1, 25000000]</t>
  </si>
  <si>
    <t>[1, 240]</t>
  </si>
  <si>
    <t>Проектирование модуля размещения электронных компонентов ПТК</t>
  </si>
  <si>
    <t>Проектирование узла коммутации сети ~230 В</t>
  </si>
  <si>
    <t>Разработка эскизов общего вида Изделия</t>
  </si>
  <si>
    <t>Проектирование транспортировочной тары</t>
  </si>
  <si>
    <t>Итоговая НДС по позиции - реализация</t>
  </si>
  <si>
    <t>ЕД ИЗМ.</t>
  </si>
  <si>
    <t>КОЛ-ВО</t>
  </si>
  <si>
    <t>Комментарий для - заказчика.
Свободная информация по позиции для технических спецификаций предназначенных заказчику</t>
  </si>
  <si>
    <t>КОЛИЧЕСТВО</t>
  </si>
  <si>
    <t>№</t>
  </si>
  <si>
    <t>TabSpecificationToCustomerTech</t>
  </si>
  <si>
    <t>DSL - конфигурация предназначена для генерации 'to customer tech' спецификации в соответствии с новыми командами  и требованиями ETL процессора версии - 'rev.05 v02' а также она (конфигурация) явялется разновидность 'type 1'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</si>
  <si>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ОПИСАНИЕ И ХАРАКТЕРИСТИКИ</t>
  </si>
  <si>
    <t>ПРИМЕЧАНИЕ</t>
  </si>
  <si>
    <t>ДЛИТЕЛЬНОСТЬ РЕАЛИЗАЦИИ, дней</t>
  </si>
  <si>
    <t>НДС, руб</t>
  </si>
  <si>
    <t>СТОИМОСТЬ БЕЗ НДС, руб</t>
  </si>
  <si>
    <t>ЦЕНА БЕЗ НДС, руб</t>
  </si>
  <si>
    <t>[3, 7]</t>
  </si>
  <si>
    <t>1.101.1</t>
  </si>
  <si>
    <t>1.101.2</t>
  </si>
  <si>
    <t>1.101.3</t>
  </si>
  <si>
    <t>1.101.4</t>
  </si>
  <si>
    <t>1.101.5</t>
  </si>
  <si>
    <t>1.101.6</t>
  </si>
  <si>
    <t>1.101.7</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</si>
  <si>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7]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[0,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"8/2026-N1-ГОРИЗОНТ" }
      ],
      "RemoveRowAll": [
        {
          "row_1": {
            "IndexSearchColumn": "isSHIPPED",
            "IndexSearchRow": "false"
          }
        }
      ]
    },
    "3": {
      "FilterSpecMaxVer": []
    },
    "4": {
      "ModifyData": []
    },
    "5": {
      "RemoveXorColumn": [
        "NUM FULL SET",
        "NAME PRODUCT",
        "DESCRIPTION PRODUCT",
        "UNITS",
        "QUANTITY TOTAL",
        "DURATION SALE $TOTAL",
        "COMMENT CUSTOMER"
      ],
      "RenameColumn": [
        { "NUM FULL SET": "№" },
        { "NAME PRODUCT": "НАИМЕНОВАНИЕ" },
        { "DESCRIPTION PRODUCT": "ОПИСАНИЕ И ХАРАКТЕРИСТИКИ" },
        { "UNITS": "ЕД ИЗМ." },
        { "QUANTITY TOTAL": "КОЛ-ВО" },
        { "DURATION SALE $TOTAL": "ДЛИТЕЛЬНОСТЬ РЕАЛИЗАЦИИ, дней" },
        { "COMMENT CUSTOMER": "ПРИМЕЧАНИЕ" }
      ]
    },
    "6": {
      "ColumnSetType": [
        { "№": "text" },
        { "НАИМЕНОВАНИЕ": "text" },
        { "ОПИСАНИЕ И ХАРАКТЕРИСТИКИ": "text" },
        { "ЕД ИЗМ.": "text" },
        { "КОЛ-ВО": "int" },
        { "ДЛИТЕЛЬНОСТЬ РЕАЛИЗАЦИИ, дней": "int" },
        { "ПРИМЕЧАНИЕ": "text" }
      ]
    }
  }
}</t>
  </si>
  <si>
    <t>gen-spec-to_customer_tech-type2-base</t>
  </si>
  <si>
    <t>1.102.1</t>
  </si>
  <si>
    <t>Общий срок реализации по всем позициям: ~134
календарных дней</t>
  </si>
  <si>
    <t>Проектирование конструкции модуля, предназначенного для размещения электронных узлов  ПТК Изделия. Состав работ:
- анализ существующего пространства для размещения электроники;
- обмер электронных компонентов ПТК;
- создание упрощенной 3D модели электронных  компонентов ПТК;
- разработка 3D проекта;
- разработка комплекта КД.
 Результатом работ по этапу является:
 - комплект КД для изготовления модуля.</t>
  </si>
  <si>
    <t>Проектирование конструкции модуля, предназначенного для подключения к Изделию сети переменного тока ~230 В, вынос модуля  в зону доступности  персонала,  интеграция в модуль автоматического выключателя в соответствии с ПУЭ, заземляющего контакта.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</si>
  <si>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Проектирование интегрированного узла крепления LCD дисплея, хаба АСУ ВУ, RFID и QR считывателей</t>
  </si>
  <si>
    <t>Проектирование конструкции модуля, предназначенного для создания интегрированного узла крепления HMI компонентов - LCD дисплея, хаба АСУ ВУ, RFID и QR считывателя. Данный модуль предназначен для замены крепления существующего моноблока. Модуль ( при соответствующем подборе размера LCD дисплея) устанавливается в нишу Двери №2 (правая дверь) в освободившийся проем.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</si>
  <si>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Разработка основных видов Изделия с размерами.  Состав работ:
- анализ геометрии и конструкционных особенностей Изделия;
- обмер основных внешних и внутренних размеров конструкции Изделия;
- создание упрощенной 3D модели изделия;
- разработка 3D проекта;
- разработка комплекта эскизов.
 Результатом работ по этапу является:
 - комплект эскизов.</t>
  </si>
  <si>
    <t>Разработка конструкции транспортировочной тары и элементов защиты внутренних компонентов Изделия критичных к механическим воздействиям. Состав работ:
- анализ геометрии и конструкционных особенностей Изделия;
- изучение существующих решений;
- создание упрощенной 3D модели компонентов подлежащих защите;
- разработка 3D проекта;
- разработка комплекта КД.
 Результатом работ по этапу является:
 - комплект КД для изготовления тары.</t>
  </si>
  <si>
    <t>Проектирование внешнего  бокса для размещения HMI компонентов - LCD, RFID, QR, хаб ВУ</t>
  </si>
  <si>
    <t>Проектирование внешнего бокса, предназначенного для  размещения HMI компонентов - LCD, RFID, QR, хаб ВУ. Состав работ:
- анализ существующих решений;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</si>
  <si>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Проведение конструкторской и технологической оценки переноса точек крепления колес</t>
  </si>
  <si>
    <t xml:space="preserve">Проведение инженерного анализа текущей конструкции Изделия в точках крепления колес. Цель - оценка возможного решения которое позволит увеличить межосевое расстояние левой и правой пар колес (вдоль длинной стороны Изделия).
Состав работ:
- инженерный анализ текущей конструкции аппарата в точках крепления колес;
- анализ конструкции колес
- оценка вариантов смещения крепления колес.
 Результатом работ по этапу является:
 - отчет с ценкой возможности проведения конструкторсских работ, с кратким описанием технологии решения задачи,  оценкой стоимости и сроков выполнения работ.
</t>
  </si>
  <si>
    <t>Проектирование кронштейна для камер видеонаблюдения</t>
  </si>
  <si>
    <t>Проектирование кронштейна для камер видеонаблюдения.
Состав работ:
- анализ конструкции потенциальных точек крепления;
- анализ допустимых трас Ethernet кабеля;
- анализ типов крепления современных IP камер;
- создание упрощенной 3D модели компонентов;
- разработка 3D проекта;
- разработка комплекта КД.
 Результатом работ по этапу является:
 - комплект КД для изготовления модуля.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</si>
</sst>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0" tint="-0.14999847407452621"/>
        <bgColor theme="0" tint="-0.14999847407452621"/>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dashed">
        <color auto="1"/>
      </top>
      <bottom style="dashed">
        <color auto="1"/>
      </bottom>
      <diagonal/>
    </border>
    <border>
      <left/>
      <right/>
      <top style="medium">
        <color theme="1"/>
      </top>
      <bottom style="medium">
        <color theme="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cellStyleXfs>
  <cellXfs count="34">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10" xfId="0" applyBorder="1" applyAlignment="1">
      <alignment horizontal="center" vertical="center"/>
    </xf>
    <xf numFmtId="49" fontId="0" fillId="0" borderId="11" xfId="0" applyNumberFormat="1" applyBorder="1" applyAlignment="1">
      <alignment wrapText="1"/>
    </xf>
    <xf numFmtId="0" fontId="0" fillId="0" borderId="0" xfId="0" applyAlignment="1">
      <alignment vertical="top" wrapText="1"/>
    </xf>
    <xf numFmtId="49" fontId="0" fillId="0" borderId="12" xfId="0" applyNumberFormat="1" applyBorder="1" applyAlignment="1">
      <alignment horizontal="left" vertical="top" wrapText="1"/>
    </xf>
    <xf numFmtId="0" fontId="0" fillId="0" borderId="0" xfId="0" applyAlignment="1">
      <alignment vertical="center" wrapText="1"/>
    </xf>
    <xf numFmtId="49" fontId="0" fillId="0" borderId="12" xfId="0" applyNumberFormat="1" applyBorder="1" applyAlignment="1">
      <alignment horizontal="left" vertical="center" indent="1"/>
    </xf>
    <xf numFmtId="0" fontId="20" fillId="0" borderId="0" xfId="0" applyFont="1" applyAlignment="1">
      <alignment vertical="top"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0" fillId="0" borderId="0" xfId="0" applyProtection="1">
      <protection locked="0"/>
    </xf>
    <xf numFmtId="0" fontId="13" fillId="33" borderId="14" xfId="0" applyFont="1" applyFill="1" applyBorder="1" applyAlignment="1">
      <alignment horizontal="center" vertical="top" wrapText="1"/>
    </xf>
    <xf numFmtId="0" fontId="0" fillId="34" borderId="13" xfId="0" applyFill="1" applyBorder="1" applyAlignment="1">
      <alignment horizontal="center" vertical="center" wrapText="1"/>
    </xf>
    <xf numFmtId="0" fontId="0" fillId="34" borderId="13" xfId="0" applyFill="1" applyBorder="1" applyAlignment="1">
      <alignment vertical="top" wrapText="1"/>
    </xf>
    <xf numFmtId="0" fontId="0" fillId="34" borderId="13" xfId="0" applyFill="1" applyBorder="1" applyAlignment="1">
      <alignment horizontal="center" vertical="center"/>
    </xf>
    <xf numFmtId="0" fontId="0" fillId="34" borderId="13" xfId="0" applyFill="1" applyBorder="1"/>
    <xf numFmtId="0" fontId="0" fillId="0" borderId="13" xfId="0" applyBorder="1" applyAlignment="1">
      <alignment vertical="top" wrapText="1"/>
    </xf>
    <xf numFmtId="0" fontId="0" fillId="0" borderId="13" xfId="0" applyBorder="1"/>
    <xf numFmtId="0" fontId="0" fillId="34" borderId="13" xfId="0" applyFill="1" applyBorder="1" applyAlignment="1">
      <alignment vertical="center" wrapText="1"/>
    </xf>
  </cellXfs>
  <cellStyles count="44">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60">
    <dxf>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fill>
        <patternFill patternType="solid">
          <fgColor theme="0" tint="-0.14999847407452621"/>
          <bgColor theme="0" tint="-0.14999847407452621"/>
        </patternFill>
      </fil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fill>
        <patternFill patternType="solid">
          <fgColor theme="0" tint="-0.14999847407452621"/>
          <bgColor theme="0" tint="-0.14999847407452621"/>
        </patternFill>
      </fil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fill>
        <patternFill patternType="solid">
          <fgColor theme="0" tint="-0.14999847407452621"/>
          <bgColor theme="0" tint="-0.14999847407452621"/>
        </patternFill>
      </fil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fill>
        <patternFill patternType="solid">
          <fgColor theme="0" tint="-0.14999847407452621"/>
          <bgColor theme="0" tint="-0.14999847407452621"/>
        </patternFill>
      </fil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fill>
        <patternFill patternType="solid">
          <fgColor theme="0" tint="-0.14999847407452621"/>
          <bgColor theme="0" tint="-0.14999847407452621"/>
        </patternFill>
      </fil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numFmt numFmtId="0" formatCode="General"/>
      <border diagonalUp="0" diagonalDown="0">
        <left style="thin">
          <color auto="1"/>
        </left>
        <right style="thin">
          <color auto="1"/>
        </right>
        <top style="dashed">
          <color auto="1"/>
        </top>
        <bottom style="dashed">
          <color auto="1"/>
        </bottom>
        <vertical/>
        <horizontal/>
      </border>
      <protection locked="0" hidden="0"/>
    </dxf>
    <dxf>
      <alignment horizontal="general" vertical="bottom" textRotation="0" wrapText="1" indent="0" justifyLastLine="0" shrinkToFit="0" readingOrder="0"/>
    </dxf>
    <dxf>
      <alignment horizontal="center" vertical="top" textRotation="0" wrapText="1" indent="0" justifyLastLine="0" shrinkToFit="0" readingOrder="0"/>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59"/>
      <tableStyleElement type="totalRow" dxfId="58"/>
      <tableStyleElement type="secondRowStripe" dxfId="57"/>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5.xml"/><Relationship Id="rId18" Type="http://schemas.openxmlformats.org/officeDocument/2006/relationships/customXml" Target="../customXml/item10.xml"/><Relationship Id="rId26"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ustomXml" Target="../customXml/item13.xml"/><Relationship Id="rId7" Type="http://schemas.openxmlformats.org/officeDocument/2006/relationships/sharedStrings" Target="sharedStrings.xml"/><Relationship Id="rId12" Type="http://schemas.openxmlformats.org/officeDocument/2006/relationships/customXml" Target="../customXml/item4.xml"/><Relationship Id="rId17" Type="http://schemas.openxmlformats.org/officeDocument/2006/relationships/customXml" Target="../customXml/item9.xml"/><Relationship Id="rId25" Type="http://schemas.openxmlformats.org/officeDocument/2006/relationships/customXml" Target="../customXml/item17.xml"/><Relationship Id="rId33"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ustomXml" Target="../customXml/item8.xml"/><Relationship Id="rId20" Type="http://schemas.openxmlformats.org/officeDocument/2006/relationships/customXml" Target="../customXml/item12.xml"/><Relationship Id="rId29"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24" Type="http://schemas.openxmlformats.org/officeDocument/2006/relationships/customXml" Target="../customXml/item16.xml"/><Relationship Id="rId32" Type="http://schemas.openxmlformats.org/officeDocument/2006/relationships/customXml" Target="../customXml/item24.xml"/><Relationship Id="rId5" Type="http://schemas.openxmlformats.org/officeDocument/2006/relationships/connections" Target="connections.xml"/><Relationship Id="rId15" Type="http://schemas.openxmlformats.org/officeDocument/2006/relationships/customXml" Target="../customXml/item7.xml"/><Relationship Id="rId23" Type="http://schemas.openxmlformats.org/officeDocument/2006/relationships/customXml" Target="../customXml/item15.xml"/><Relationship Id="rId28" Type="http://schemas.openxmlformats.org/officeDocument/2006/relationships/customXml" Target="../customXml/item20.xml"/><Relationship Id="rId10" Type="http://schemas.openxmlformats.org/officeDocument/2006/relationships/customXml" Target="../customXml/item2.xml"/><Relationship Id="rId19" Type="http://schemas.openxmlformats.org/officeDocument/2006/relationships/customXml" Target="../customXml/item11.xml"/><Relationship Id="rId31" Type="http://schemas.openxmlformats.org/officeDocument/2006/relationships/customXml" Target="../customXml/item23.xml"/><Relationship Id="rId4" Type="http://schemas.openxmlformats.org/officeDocument/2006/relationships/theme" Target="theme/theme1.xml"/><Relationship Id="rId9" Type="http://schemas.openxmlformats.org/officeDocument/2006/relationships/customXml" Target="../customXml/item1.xml"/><Relationship Id="rId14" Type="http://schemas.openxmlformats.org/officeDocument/2006/relationships/customXml" Target="../customXml/item6.xml"/><Relationship Id="rId22" Type="http://schemas.openxmlformats.org/officeDocument/2006/relationships/customXml" Target="../customXml/item14.xml"/><Relationship Id="rId27" Type="http://schemas.openxmlformats.org/officeDocument/2006/relationships/customXml" Target="../customXml/item19.xml"/><Relationship Id="rId30" Type="http://schemas.openxmlformats.org/officeDocument/2006/relationships/customXml" Target="../customXml/item22.xml"/><Relationship Id="rId8"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1F3CD3FB-6A4A-41DF-AB23-C155C39E466C}" autoFormatId="16" applyNumberFormats="0" applyBorderFormats="0" applyFontFormats="0" applyPatternFormats="0" applyAlignmentFormats="0" applyWidthHeightFormats="0">
  <queryTableRefresh nextId="16">
    <queryTableFields count="7">
      <queryTableField id="1" name="№" tableColumnId="1"/>
      <queryTableField id="2" name="НАИМЕНОВАНИЕ" tableColumnId="2"/>
      <queryTableField id="10" name="ОПИСАНИЕ И ХАРАКТЕРИСТИКИ" tableColumnId="5"/>
      <queryTableField id="3" name="ЕД ИЗМ." tableColumnId="3"/>
      <queryTableField id="4" name="КОЛ-ВО" tableColumnId="4"/>
      <queryTableField id="14" name="ДЛИТЕЛЬНОСТЬ РЕАЛИЗАЦИИ, дней" tableColumnId="6"/>
      <queryTableField id="12" name="ПРИМЕЧАНИЕ"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43E309-0E8D-4534-8845-B4A45424A8C6}" name="TabSpecificationToCustomerTech" displayName="TabSpecificationToCustomerTech" ref="A1:G9" tableType="queryTable" totalsRowShown="0" headerRowDxfId="51" dataDxfId="50">
  <autoFilter ref="A1:G9" xr:uid="{9D43E309-0E8D-4534-8845-B4A45424A8C6}"/>
  <tableColumns count="7">
    <tableColumn id="1" xr3:uid="{095AA111-FA63-4964-B584-2C7AB6E17D7A}" uniqueName="1" name="№" queryTableFieldId="1" dataDxfId="5"/>
    <tableColumn id="2" xr3:uid="{06F08F19-7BAC-4BE3-8B82-8421D1DCDAE4}" uniqueName="2" name="НАИМЕНОВАНИЕ" queryTableFieldId="2" dataDxfId="4"/>
    <tableColumn id="5" xr3:uid="{B5438B53-A9FE-4607-A81C-74D0C48DA38C}" uniqueName="5" name="ОПИСАНИЕ И ХАРАКТЕРИСТИКИ" queryTableFieldId="10" dataDxfId="3"/>
    <tableColumn id="3" xr3:uid="{3F0BCDB7-61A1-42A5-8138-012623067E45}" uniqueName="3" name="ЕД ИЗМ." queryTableFieldId="3" dataDxfId="2"/>
    <tableColumn id="4" xr3:uid="{6F49E9F3-06A2-43BE-9CBB-B828B84C5DED}" uniqueName="4" name="КОЛ-ВО" queryTableFieldId="4" dataDxfId="1"/>
    <tableColumn id="6" xr3:uid="{745839E6-0BEC-40AD-B811-787DE1031781}" uniqueName="6" name="ДЛИТЕЛЬНОСТЬ РЕАЛИЗАЦИИ, дней" queryTableFieldId="14" dataDxfId="0"/>
    <tableColumn id="7" xr3:uid="{9FDC64F1-6FDB-4465-9073-AC319D1892B9}" uniqueName="7" name="ПРИМЕЧАНИЕ" queryTableFieldId="12" dataDxfId="49"/>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11" headerRowDxfId="48" dataDxfId="47" tableBorderDxfId="46">
  <autoFilter ref="A1:Q11" xr:uid="{759773E5-6BB4-4A7F-A27E-2BF5D48F2E04}"/>
  <tableColumns count="17">
    <tableColumn id="1" xr3:uid="{E6BB4E5D-0C94-42D4-8C3E-4A911A823492}" name="TABLE NAME" totalsRowLabel="Итог" dataDxfId="45" totalsRowDxfId="44"/>
    <tableColumn id="9" xr3:uid="{8E76A267-9A59-489D-8043-2804945CE301}" name="NUM COLUMN" totalsRowFunction="count" dataDxfId="43" totalsRowDxfId="42"/>
    <tableColumn id="2" xr3:uid="{BEB7F216-285D-4701-BA72-477EC26D3B62}" name="СOLUMNS NAME" dataDxfId="41" totalsRowDxfId="40"/>
    <tableColumn id="4" xr3:uid="{A7B1D50C-5D59-4B32-A7C3-9AA74B7404D4}" name="COLUMN NAME RUS" dataDxfId="39" totalsRowDxfId="38"/>
    <tableColumn id="6" xr3:uid="{1416325B-2E3B-4C34-BB33-AAB8A31EF82D}" name="TYPE DATASET" dataDxfId="37" totalsRowDxfId="36"/>
    <tableColumn id="5" xr3:uid="{CA8100E0-9D72-4767-B0B8-4AD4DE71B1E3}" name="RANGE VALUES" dataDxfId="35" totalsRowDxfId="34"/>
    <tableColumn id="13" xr3:uid="{3A92C78A-FF7E-4E7E-8419-C0B9B7A58E47}" name="UNIQUE FLAG" dataDxfId="33" totalsRowDxfId="32"/>
    <tableColumn id="8" xr3:uid="{2396727F-9D04-4743-BB44-C8C0E33C757B}" name="NULL VALUE" dataDxfId="31" totalsRowDxfId="30"/>
    <tableColumn id="12" xr3:uid="{C4725C6D-3039-490B-BB41-A5171ECFACD8}" name="isAUTOMATIC" dataDxfId="29" totalsRowDxfId="28"/>
    <tableColumn id="7" xr3:uid="{40580CDE-6E19-4C7A-9755-F526449CFCB9}" name="MODIFY FLAG" dataDxfId="27" totalsRowDxfId="26"/>
    <tableColumn id="10" xr3:uid="{CB15A236-A81C-4BD2-9F8C-B1E9D304D57D}" name="HANDBOOK SOURCE" dataDxfId="25" totalsRowDxfId="24"/>
    <tableColumn id="15" xr3:uid="{FEB2FEB8-B9A8-4D97-89C7-C11A7ECC74BF}" name="DROPDOWN LIST" dataDxfId="23" totalsRowDxfId="22"/>
    <tableColumn id="14" xr3:uid="{39517DFD-8E84-4512-AD3B-8EEF3F2A14BD}" name="EXCEL TYPE" dataDxfId="21" totalsRowDxfId="20"/>
    <tableColumn id="16" xr3:uid="{4AF43F77-9EB9-4FE8-A6CD-1C506E0C165A}" name="VERTICAL ALIGNMENT" totalsRowFunction="count" dataDxfId="19" totalsRowDxfId="18"/>
    <tableColumn id="17" xr3:uid="{F3337072-6BBA-4D07-99C5-D8BE0F50993F}" name="HORIZONTAL ALIGNMENT" dataDxfId="17" totalsRowDxfId="16"/>
    <tableColumn id="18" xr3:uid="{D292290F-9084-4A4E-B39B-7270E72B4D63}" name="TRANSFER TEXT" dataDxfId="15" totalsRowDxfId="14"/>
    <tableColumn id="3" xr3:uid="{99264B45-CF4D-4029-A10F-DE7DEC72AEAA}" name="COMMENT" totalsRowFunction="count" dataDxfId="13" totalsRowDxfId="12"/>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2" totalsRowShown="0" headerRowDxfId="56">
  <autoFilter ref="A1:D2" xr:uid="{F15A7DFF-0CC5-4C4C-9A2B-B1F378111DBF}"/>
  <tableColumns count="4">
    <tableColumn id="1" xr3:uid="{EADDD526-A1BB-49E7-8C12-FF9F560ED170}" name="IDnum" dataDxfId="55"/>
    <tableColumn id="4" xr3:uid="{98DCC295-85E8-47DA-AFBD-C60F8D2289C3}" name="IDconfig" dataDxfId="54"/>
    <tableColumn id="2" xr3:uid="{DA12A670-2981-4AD6-9AD6-55CE1D69B953}" name="CONFIG_JSON" dataDxfId="53"/>
    <tableColumn id="3" xr3:uid="{A974DE38-498A-4F17-8A6B-82651D251480}" name="COMMENT" dataDxfId="52"/>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G9"/>
  <sheetViews>
    <sheetView tabSelected="1" zoomScale="85" zoomScaleNormal="85" workbookViewId="0">
      <selection activeCell="G3" sqref="G3"/>
    </sheetView>
  </sheetViews>
  <sheetFormatPr defaultRowHeight="14.4" x14ac:dyDescent="0.3"/>
  <cols>
    <col min="1" max="1" width="8.33203125" bestFit="1" customWidth="1"/>
    <col min="2" max="2" width="30.77734375" customWidth="1"/>
    <col min="3" max="3" width="50.77734375" customWidth="1"/>
    <col min="4" max="5" width="10.77734375" customWidth="1"/>
    <col min="6" max="6" width="20.77734375" customWidth="1"/>
    <col min="7" max="7" width="40.77734375" style="25" customWidth="1"/>
    <col min="8" max="8" width="40.6640625" customWidth="1"/>
    <col min="9" max="9" width="15.6640625" customWidth="1"/>
    <col min="10" max="10" width="18.44140625" customWidth="1"/>
    <col min="11" max="11" width="13.33203125" bestFit="1" customWidth="1"/>
    <col min="12" max="12" width="30.33203125" bestFit="1" customWidth="1"/>
  </cols>
  <sheetData>
    <row r="1" spans="1:7" ht="52.2" customHeight="1" thickBot="1" x14ac:dyDescent="0.35">
      <c r="A1" s="26" t="s">
        <v>74</v>
      </c>
      <c r="B1" s="26" t="s">
        <v>41</v>
      </c>
      <c r="C1" s="26" t="s">
        <v>77</v>
      </c>
      <c r="D1" s="26" t="s">
        <v>70</v>
      </c>
      <c r="E1" s="26" t="s">
        <v>71</v>
      </c>
      <c r="F1" s="26" t="s">
        <v>79</v>
      </c>
      <c r="G1" s="26" t="s">
        <v>78</v>
      </c>
    </row>
    <row r="2" spans="1:7" ht="187.2" x14ac:dyDescent="0.3">
      <c r="A2" s="27" t="s">
        <v>84</v>
      </c>
      <c r="B2" s="28" t="s">
        <v>65</v>
      </c>
      <c r="C2" s="28" t="s">
        <v>95</v>
      </c>
      <c r="D2" s="27" t="s">
        <v>7</v>
      </c>
      <c r="E2" s="27">
        <v>1</v>
      </c>
      <c r="F2" s="29">
        <v>25</v>
      </c>
      <c r="G2" s="30"/>
    </row>
    <row r="3" spans="1:7" ht="244.8" x14ac:dyDescent="0.3">
      <c r="A3" s="23" t="s">
        <v>85</v>
      </c>
      <c r="B3" s="31" t="s">
        <v>66</v>
      </c>
      <c r="C3" s="31" t="s">
        <v>96</v>
      </c>
      <c r="D3" s="23" t="s">
        <v>7</v>
      </c>
      <c r="E3" s="23">
        <v>1</v>
      </c>
      <c r="F3" s="24">
        <v>10</v>
      </c>
      <c r="G3" s="32"/>
    </row>
    <row r="4" spans="1:7" ht="273.60000000000002" x14ac:dyDescent="0.3">
      <c r="A4" s="27" t="s">
        <v>86</v>
      </c>
      <c r="B4" s="28" t="s">
        <v>97</v>
      </c>
      <c r="C4" s="28" t="s">
        <v>98</v>
      </c>
      <c r="D4" s="27" t="s">
        <v>7</v>
      </c>
      <c r="E4" s="27">
        <v>1</v>
      </c>
      <c r="F4" s="29">
        <v>20</v>
      </c>
      <c r="G4" s="30"/>
    </row>
    <row r="5" spans="1:7" ht="172.8" x14ac:dyDescent="0.3">
      <c r="A5" s="23" t="s">
        <v>87</v>
      </c>
      <c r="B5" s="31" t="s">
        <v>67</v>
      </c>
      <c r="C5" s="31" t="s">
        <v>99</v>
      </c>
      <c r="D5" s="23" t="s">
        <v>7</v>
      </c>
      <c r="E5" s="23">
        <v>1</v>
      </c>
      <c r="F5" s="24">
        <v>25</v>
      </c>
      <c r="G5" s="32"/>
    </row>
    <row r="6" spans="1:7" ht="187.2" x14ac:dyDescent="0.3">
      <c r="A6" s="27" t="s">
        <v>88</v>
      </c>
      <c r="B6" s="28" t="s">
        <v>68</v>
      </c>
      <c r="C6" s="28" t="s">
        <v>100</v>
      </c>
      <c r="D6" s="27" t="s">
        <v>7</v>
      </c>
      <c r="E6" s="27">
        <v>1</v>
      </c>
      <c r="F6" s="29">
        <v>15</v>
      </c>
      <c r="G6" s="30"/>
    </row>
    <row r="7" spans="1:7" ht="172.8" x14ac:dyDescent="0.3">
      <c r="A7" s="23" t="s">
        <v>93</v>
      </c>
      <c r="B7" s="31" t="s">
        <v>101</v>
      </c>
      <c r="C7" s="31" t="s">
        <v>102</v>
      </c>
      <c r="D7" s="23" t="s">
        <v>7</v>
      </c>
      <c r="E7" s="23">
        <v>1</v>
      </c>
      <c r="F7" s="24">
        <v>15</v>
      </c>
      <c r="G7" s="32"/>
    </row>
    <row r="8" spans="1:7" ht="244.8" x14ac:dyDescent="0.3">
      <c r="A8" s="27" t="s">
        <v>89</v>
      </c>
      <c r="B8" s="28" t="s">
        <v>103</v>
      </c>
      <c r="C8" s="28" t="s">
        <v>104</v>
      </c>
      <c r="D8" s="27" t="s">
        <v>7</v>
      </c>
      <c r="E8" s="27">
        <v>1</v>
      </c>
      <c r="F8" s="29">
        <v>12</v>
      </c>
      <c r="G8" s="33"/>
    </row>
    <row r="9" spans="1:7" ht="172.8" x14ac:dyDescent="0.3">
      <c r="A9" s="27" t="s">
        <v>90</v>
      </c>
      <c r="B9" s="28" t="s">
        <v>105</v>
      </c>
      <c r="C9" s="28" t="s">
        <v>106</v>
      </c>
      <c r="D9" s="27" t="s">
        <v>7</v>
      </c>
      <c r="E9" s="27">
        <v>1</v>
      </c>
      <c r="F9" s="29">
        <v>12</v>
      </c>
      <c r="G9" s="33" t="s">
        <v>94</v>
      </c>
    </row>
  </sheetData>
  <sheetProtection formatCells="0" formatColumns="0" formatRows="0" sort="0" autoFilter="0" pivotTables="0"/>
  <protectedRanges>
    <protectedRange algorithmName="SHA-512" hashValue="WY+3aVhMz0dknMbhTF0UxTLiDvK6LAyYEIeYRu/pjcIoghK1M5Vl4dKWRYzq/nq2kRoSfrVzg/i9zU/OTRAYgQ==" saltValue="WcDqnbnLHK5TaXb2UZXpdw==" spinCount="100000" sqref="A1:F1048576" name="Диапазон1"/>
  </protectedRanges>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11"/>
  <sheetViews>
    <sheetView zoomScaleNormal="100" workbookViewId="0">
      <pane ySplit="1" topLeftCell="A2" activePane="bottomLeft" state="frozen"/>
      <selection pane="bottomLeft" activeCell="F3" sqref="F3"/>
    </sheetView>
  </sheetViews>
  <sheetFormatPr defaultRowHeight="14.4" outlineLevelCol="1" x14ac:dyDescent="0.3"/>
  <cols>
    <col min="1" max="1" width="31.109375" bestFit="1" customWidth="1"/>
    <col min="2" max="2" width="11.33203125" customWidth="1"/>
    <col min="3" max="3" width="23.33203125" customWidth="1"/>
    <col min="4" max="4" width="30.88671875" customWidth="1"/>
    <col min="5" max="5" width="10.6640625" customWidth="1" outlineLevel="1"/>
    <col min="6" max="6" width="19.109375" customWidth="1" outlineLevel="1"/>
    <col min="7" max="7" width="12.33203125" customWidth="1" outlineLevel="1"/>
    <col min="8" max="8" width="11.33203125" customWidth="1" outlineLevel="1"/>
    <col min="9" max="9" width="14.33203125" customWidth="1" outlineLevel="1"/>
    <col min="10" max="10" width="11.109375" customWidth="1" outlineLevel="1"/>
    <col min="11" max="11" width="23.44140625" customWidth="1" outlineLevel="1"/>
    <col min="12" max="12" width="13.33203125" customWidth="1" outlineLevel="1"/>
    <col min="13" max="16" width="12.6640625" customWidth="1" outlineLevel="1"/>
    <col min="17" max="17" width="56.109375" customWidth="1"/>
  </cols>
  <sheetData>
    <row r="1" spans="1:17" ht="42.6" customHeight="1" x14ac:dyDescent="0.3">
      <c r="A1" s="14" t="s">
        <v>14</v>
      </c>
      <c r="B1" s="14" t="s">
        <v>15</v>
      </c>
      <c r="C1" s="15" t="s">
        <v>16</v>
      </c>
      <c r="D1" s="15" t="s">
        <v>17</v>
      </c>
      <c r="E1" s="15" t="s">
        <v>18</v>
      </c>
      <c r="F1" s="6" t="s">
        <v>19</v>
      </c>
      <c r="G1" s="6" t="s">
        <v>20</v>
      </c>
      <c r="H1" s="6" t="s">
        <v>21</v>
      </c>
      <c r="I1" s="6" t="s">
        <v>22</v>
      </c>
      <c r="J1" s="6" t="s">
        <v>23</v>
      </c>
      <c r="K1" s="4" t="s">
        <v>24</v>
      </c>
      <c r="L1" s="4" t="s">
        <v>25</v>
      </c>
      <c r="M1" s="4" t="s">
        <v>26</v>
      </c>
      <c r="N1" s="4" t="s">
        <v>27</v>
      </c>
      <c r="O1" s="4" t="s">
        <v>28</v>
      </c>
      <c r="P1" s="4" t="s">
        <v>29</v>
      </c>
      <c r="Q1" s="14" t="s">
        <v>30</v>
      </c>
    </row>
    <row r="2" spans="1:17" ht="28.8" x14ac:dyDescent="0.3">
      <c r="A2" s="7" t="s">
        <v>75</v>
      </c>
      <c r="B2" s="5">
        <v>1</v>
      </c>
      <c r="C2" s="20" t="s">
        <v>1</v>
      </c>
      <c r="D2" s="8" t="s">
        <v>74</v>
      </c>
      <c r="E2" s="9" t="s">
        <v>34</v>
      </c>
      <c r="F2" s="10" t="s">
        <v>83</v>
      </c>
      <c r="G2" s="10" t="s">
        <v>6</v>
      </c>
      <c r="H2" s="11" t="s">
        <v>8</v>
      </c>
      <c r="I2" s="11" t="s">
        <v>6</v>
      </c>
      <c r="J2" s="11" t="s">
        <v>8</v>
      </c>
      <c r="K2" s="12" t="s">
        <v>13</v>
      </c>
      <c r="L2" s="12" t="s">
        <v>8</v>
      </c>
      <c r="M2" s="12" t="s">
        <v>39</v>
      </c>
      <c r="N2" s="12" t="s">
        <v>33</v>
      </c>
      <c r="O2" s="12" t="s">
        <v>33</v>
      </c>
      <c r="P2" s="12" t="s">
        <v>8</v>
      </c>
      <c r="Q2" s="13" t="s">
        <v>40</v>
      </c>
    </row>
    <row r="3" spans="1:17" x14ac:dyDescent="0.3">
      <c r="A3" s="7" t="s">
        <v>75</v>
      </c>
      <c r="B3" s="5">
        <v>2</v>
      </c>
      <c r="C3" s="20" t="s">
        <v>2</v>
      </c>
      <c r="D3" s="8" t="s">
        <v>41</v>
      </c>
      <c r="E3" s="9" t="s">
        <v>34</v>
      </c>
      <c r="F3" s="10" t="s">
        <v>42</v>
      </c>
      <c r="G3" s="10" t="s">
        <v>6</v>
      </c>
      <c r="H3" s="11" t="s">
        <v>8</v>
      </c>
      <c r="I3" s="11" t="s">
        <v>6</v>
      </c>
      <c r="J3" s="11" t="s">
        <v>8</v>
      </c>
      <c r="K3" s="12" t="s">
        <v>13</v>
      </c>
      <c r="L3" s="12" t="s">
        <v>8</v>
      </c>
      <c r="M3" s="12" t="s">
        <v>35</v>
      </c>
      <c r="N3" s="12" t="s">
        <v>37</v>
      </c>
      <c r="O3" s="12" t="s">
        <v>38</v>
      </c>
      <c r="P3" s="12" t="s">
        <v>6</v>
      </c>
      <c r="Q3" s="13" t="s">
        <v>43</v>
      </c>
    </row>
    <row r="4" spans="1:17" x14ac:dyDescent="0.3">
      <c r="A4" s="7" t="s">
        <v>75</v>
      </c>
      <c r="B4" s="5">
        <v>3</v>
      </c>
      <c r="C4" s="20" t="s">
        <v>3</v>
      </c>
      <c r="D4" s="8" t="s">
        <v>44</v>
      </c>
      <c r="E4" s="9" t="s">
        <v>34</v>
      </c>
      <c r="F4" s="10" t="s">
        <v>45</v>
      </c>
      <c r="G4" s="10" t="s">
        <v>8</v>
      </c>
      <c r="H4" s="11" t="s">
        <v>8</v>
      </c>
      <c r="I4" s="11" t="s">
        <v>6</v>
      </c>
      <c r="J4" s="11" t="s">
        <v>8</v>
      </c>
      <c r="K4" s="12" t="s">
        <v>13</v>
      </c>
      <c r="L4" s="12" t="s">
        <v>8</v>
      </c>
      <c r="M4" s="12" t="s">
        <v>35</v>
      </c>
      <c r="N4" s="12" t="s">
        <v>37</v>
      </c>
      <c r="O4" s="12" t="s">
        <v>38</v>
      </c>
      <c r="P4" s="12" t="s">
        <v>6</v>
      </c>
      <c r="Q4" s="13" t="s">
        <v>46</v>
      </c>
    </row>
    <row r="5" spans="1:17" x14ac:dyDescent="0.3">
      <c r="A5" s="7" t="s">
        <v>75</v>
      </c>
      <c r="B5" s="5">
        <v>4</v>
      </c>
      <c r="C5" s="20" t="s">
        <v>4</v>
      </c>
      <c r="D5" s="8" t="s">
        <v>47</v>
      </c>
      <c r="E5" s="9" t="s">
        <v>34</v>
      </c>
      <c r="F5" s="10" t="s">
        <v>48</v>
      </c>
      <c r="G5" s="10" t="s">
        <v>8</v>
      </c>
      <c r="H5" s="11" t="s">
        <v>8</v>
      </c>
      <c r="I5" s="11" t="s">
        <v>6</v>
      </c>
      <c r="J5" s="11" t="s">
        <v>8</v>
      </c>
      <c r="K5" s="12" t="s">
        <v>13</v>
      </c>
      <c r="L5" s="12" t="s">
        <v>8</v>
      </c>
      <c r="M5" s="12" t="s">
        <v>35</v>
      </c>
      <c r="N5" s="12" t="s">
        <v>33</v>
      </c>
      <c r="O5" s="12" t="s">
        <v>33</v>
      </c>
      <c r="P5" s="12" t="s">
        <v>8</v>
      </c>
      <c r="Q5" s="13" t="s">
        <v>49</v>
      </c>
    </row>
    <row r="6" spans="1:17" x14ac:dyDescent="0.3">
      <c r="A6" s="7" t="s">
        <v>75</v>
      </c>
      <c r="B6" s="5">
        <v>5</v>
      </c>
      <c r="C6" s="20" t="s">
        <v>5</v>
      </c>
      <c r="D6" s="8" t="s">
        <v>73</v>
      </c>
      <c r="E6" s="9" t="s">
        <v>31</v>
      </c>
      <c r="F6" s="10" t="s">
        <v>36</v>
      </c>
      <c r="G6" s="10" t="s">
        <v>8</v>
      </c>
      <c r="H6" s="11" t="s">
        <v>8</v>
      </c>
      <c r="I6" s="11" t="s">
        <v>6</v>
      </c>
      <c r="J6" s="11" t="s">
        <v>8</v>
      </c>
      <c r="K6" s="12" t="s">
        <v>13</v>
      </c>
      <c r="L6" s="12" t="s">
        <v>8</v>
      </c>
      <c r="M6" s="12" t="s">
        <v>32</v>
      </c>
      <c r="N6" s="12" t="s">
        <v>33</v>
      </c>
      <c r="O6" s="12" t="s">
        <v>33</v>
      </c>
      <c r="P6" s="12" t="s">
        <v>8</v>
      </c>
      <c r="Q6" s="13" t="s">
        <v>50</v>
      </c>
    </row>
    <row r="7" spans="1:17" x14ac:dyDescent="0.3">
      <c r="A7" s="7" t="s">
        <v>75</v>
      </c>
      <c r="B7" s="5">
        <v>6</v>
      </c>
      <c r="C7" s="18" t="s">
        <v>9</v>
      </c>
      <c r="D7" s="22" t="s">
        <v>82</v>
      </c>
      <c r="E7" s="9" t="s">
        <v>51</v>
      </c>
      <c r="F7" s="10" t="s">
        <v>54</v>
      </c>
      <c r="G7" s="10" t="s">
        <v>8</v>
      </c>
      <c r="H7" s="11" t="s">
        <v>8</v>
      </c>
      <c r="I7" s="11" t="s">
        <v>6</v>
      </c>
      <c r="J7" s="11" t="s">
        <v>8</v>
      </c>
      <c r="K7" s="12" t="s">
        <v>13</v>
      </c>
      <c r="L7" s="12" t="s">
        <v>8</v>
      </c>
      <c r="M7" s="12" t="s">
        <v>32</v>
      </c>
      <c r="N7" s="12" t="s">
        <v>52</v>
      </c>
      <c r="O7" s="12" t="s">
        <v>53</v>
      </c>
      <c r="P7" s="12" t="s">
        <v>8</v>
      </c>
      <c r="Q7" s="13" t="s">
        <v>55</v>
      </c>
    </row>
    <row r="8" spans="1:17" x14ac:dyDescent="0.3">
      <c r="A8" s="7" t="s">
        <v>75</v>
      </c>
      <c r="B8" s="5">
        <v>7</v>
      </c>
      <c r="C8" s="18" t="s">
        <v>10</v>
      </c>
      <c r="D8" s="22" t="s">
        <v>81</v>
      </c>
      <c r="E8" s="9" t="s">
        <v>51</v>
      </c>
      <c r="F8" s="10" t="s">
        <v>63</v>
      </c>
      <c r="G8" s="10" t="s">
        <v>8</v>
      </c>
      <c r="H8" s="11" t="s">
        <v>8</v>
      </c>
      <c r="I8" s="11" t="s">
        <v>6</v>
      </c>
      <c r="J8" s="11" t="s">
        <v>8</v>
      </c>
      <c r="K8" s="12" t="s">
        <v>13</v>
      </c>
      <c r="L8" s="12" t="s">
        <v>8</v>
      </c>
      <c r="M8" s="12" t="s">
        <v>32</v>
      </c>
      <c r="N8" s="12" t="s">
        <v>52</v>
      </c>
      <c r="O8" s="12" t="s">
        <v>53</v>
      </c>
      <c r="P8" s="12" t="s">
        <v>8</v>
      </c>
      <c r="Q8" s="13" t="s">
        <v>56</v>
      </c>
    </row>
    <row r="9" spans="1:17" x14ac:dyDescent="0.3">
      <c r="A9" s="7" t="s">
        <v>75</v>
      </c>
      <c r="B9" s="5">
        <v>8</v>
      </c>
      <c r="C9" s="18" t="s">
        <v>62</v>
      </c>
      <c r="D9" s="22" t="s">
        <v>80</v>
      </c>
      <c r="E9" s="9" t="s">
        <v>51</v>
      </c>
      <c r="F9" s="10" t="s">
        <v>54</v>
      </c>
      <c r="G9" s="10" t="s">
        <v>8</v>
      </c>
      <c r="H9" s="11" t="s">
        <v>8</v>
      </c>
      <c r="I9" s="11" t="s">
        <v>6</v>
      </c>
      <c r="J9" s="11" t="s">
        <v>8</v>
      </c>
      <c r="K9" s="12" t="s">
        <v>13</v>
      </c>
      <c r="L9" s="12" t="s">
        <v>8</v>
      </c>
      <c r="M9" s="12" t="s">
        <v>32</v>
      </c>
      <c r="N9" s="12" t="s">
        <v>52</v>
      </c>
      <c r="O9" s="12" t="s">
        <v>53</v>
      </c>
      <c r="P9" s="12" t="s">
        <v>8</v>
      </c>
      <c r="Q9" s="13" t="s">
        <v>69</v>
      </c>
    </row>
    <row r="10" spans="1:17" ht="28.8" x14ac:dyDescent="0.3">
      <c r="A10" s="7" t="s">
        <v>75</v>
      </c>
      <c r="B10" s="5">
        <v>9</v>
      </c>
      <c r="C10" s="18" t="s">
        <v>11</v>
      </c>
      <c r="D10" s="22" t="s">
        <v>79</v>
      </c>
      <c r="E10" s="9" t="s">
        <v>31</v>
      </c>
      <c r="F10" s="10" t="s">
        <v>64</v>
      </c>
      <c r="G10" s="10" t="s">
        <v>8</v>
      </c>
      <c r="H10" s="11" t="s">
        <v>8</v>
      </c>
      <c r="I10" s="11" t="s">
        <v>6</v>
      </c>
      <c r="J10" s="11" t="s">
        <v>8</v>
      </c>
      <c r="K10" s="12" t="s">
        <v>13</v>
      </c>
      <c r="L10" s="12" t="s">
        <v>8</v>
      </c>
      <c r="M10" s="12" t="s">
        <v>32</v>
      </c>
      <c r="N10" s="12" t="s">
        <v>33</v>
      </c>
      <c r="O10" s="12" t="s">
        <v>53</v>
      </c>
      <c r="P10" s="12" t="s">
        <v>8</v>
      </c>
      <c r="Q10" s="13" t="s">
        <v>57</v>
      </c>
    </row>
    <row r="11" spans="1:17" ht="43.2" x14ac:dyDescent="0.3">
      <c r="A11" s="7" t="s">
        <v>75</v>
      </c>
      <c r="B11" s="5">
        <v>10</v>
      </c>
      <c r="C11" s="18" t="s">
        <v>12</v>
      </c>
      <c r="D11" s="22" t="s">
        <v>58</v>
      </c>
      <c r="E11" s="9" t="s">
        <v>34</v>
      </c>
      <c r="F11" s="10" t="s">
        <v>59</v>
      </c>
      <c r="G11" s="10" t="s">
        <v>8</v>
      </c>
      <c r="H11" s="11" t="s">
        <v>6</v>
      </c>
      <c r="I11" s="11" t="s">
        <v>6</v>
      </c>
      <c r="J11" s="11" t="s">
        <v>8</v>
      </c>
      <c r="K11" s="12" t="s">
        <v>13</v>
      </c>
      <c r="L11" s="12" t="s">
        <v>8</v>
      </c>
      <c r="M11" s="12"/>
      <c r="N11" s="12"/>
      <c r="O11" s="12"/>
      <c r="P11" s="12" t="s">
        <v>6</v>
      </c>
      <c r="Q11" s="13" t="s">
        <v>72</v>
      </c>
    </row>
  </sheetData>
  <phoneticPr fontId="19" type="noConversion"/>
  <conditionalFormatting sqref="G2:G11">
    <cfRule type="expression" dxfId="11" priority="4">
      <formula>IF($G2="true",1,0)</formula>
    </cfRule>
  </conditionalFormatting>
  <conditionalFormatting sqref="H2:H11">
    <cfRule type="expression" dxfId="10" priority="6">
      <formula>IF($H2="true",1,0)</formula>
    </cfRule>
  </conditionalFormatting>
  <conditionalFormatting sqref="I2:I11">
    <cfRule type="cellIs" dxfId="9" priority="1" operator="equal">
      <formula>"true"</formula>
    </cfRule>
  </conditionalFormatting>
  <conditionalFormatting sqref="J2:J11">
    <cfRule type="expression" dxfId="8" priority="5">
      <formula>IF($J2="true",1,0)</formula>
    </cfRule>
  </conditionalFormatting>
  <conditionalFormatting sqref="K2:K11">
    <cfRule type="expression" dxfId="7" priority="3">
      <formula>IF($K2&lt;&gt;"none",1,0)</formula>
    </cfRule>
  </conditionalFormatting>
  <conditionalFormatting sqref="L2:L11">
    <cfRule type="expression" dxfId="6" priority="2">
      <formula>IF($L2="true",1,0)</formula>
    </cfRule>
  </conditionalFormatting>
  <dataValidations count="6">
    <dataValidation type="list" allowBlank="1" showInputMessage="1" showErrorMessage="1" sqref="O2:O11" xr:uid="{B4E8464F-798E-4996-B186-9C5B74FDE85A}">
      <formula1>"left,center,right,"</formula1>
    </dataValidation>
    <dataValidation type="list" showInputMessage="1" showErrorMessage="1" sqref="N2:N11" xr:uid="{D390489B-D2EC-4169-BF55-4C0809B0690B}">
      <formula1>"up,center,down,"</formula1>
    </dataValidation>
    <dataValidation type="list" showInputMessage="1" showErrorMessage="1" sqref="E2:E11" xr:uid="{92C8B38C-AE75-485D-BA39-38E679C69393}">
      <formula1>"text,int,float,bool,"</formula1>
    </dataValidation>
    <dataValidation type="list" showInputMessage="1" showErrorMessage="1" sqref="L2:L11 G2:J11" xr:uid="{DBEE043F-7460-4994-BFBF-9ADEB36E8C6E}">
      <formula1>"false,true,"</formula1>
    </dataValidation>
    <dataValidation type="list" allowBlank="1" showInputMessage="1" showErrorMessage="1" sqref="P2:P11" xr:uid="{70C4688D-8356-4AE9-8CF4-88699F7CA265}">
      <formula1>"false,true,"</formula1>
    </dataValidation>
    <dataValidation type="list" showInputMessage="1" showErrorMessage="1" sqref="M2:M11"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2"/>
  <sheetViews>
    <sheetView zoomScaleNormal="100" workbookViewId="0">
      <pane ySplit="1" topLeftCell="A2" activePane="bottomLeft" state="frozen"/>
      <selection pane="bottomLeft" activeCell="C4" sqref="C4"/>
    </sheetView>
  </sheetViews>
  <sheetFormatPr defaultRowHeight="14.4" x14ac:dyDescent="0.3"/>
  <cols>
    <col min="1" max="1" width="10.44140625" customWidth="1"/>
    <col min="2" max="2" width="39" style="2" customWidth="1"/>
    <col min="3" max="3" width="88.109375" customWidth="1"/>
    <col min="4" max="4" width="59.5546875" customWidth="1"/>
  </cols>
  <sheetData>
    <row r="1" spans="1:4" x14ac:dyDescent="0.3">
      <c r="A1" s="1" t="s">
        <v>0</v>
      </c>
      <c r="B1" s="1" t="s">
        <v>60</v>
      </c>
      <c r="C1" s="3" t="s">
        <v>61</v>
      </c>
      <c r="D1" s="4" t="s">
        <v>30</v>
      </c>
    </row>
    <row r="2" spans="1:4" ht="409.6" x14ac:dyDescent="0.3">
      <c r="A2" s="16">
        <v>1</v>
      </c>
      <c r="B2" s="21" t="s">
        <v>92</v>
      </c>
      <c r="C2" s="17" t="s">
        <v>91</v>
      </c>
      <c r="D2" s="19" t="s">
        <v>76</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4.xml>��
</file>

<file path=customXml/item5.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6.xml>��
</file>

<file path=customXml/item7.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mso-contentType ?>
<FormTemplates xmlns="http://schemas.microsoft.com/sharepoint/v3/contenttype/forms">
  <Display>DocumentLibraryForm</Display>
  <Edit>DocumentLibraryForm</Edit>
  <New>DocumentLibraryForm</New>
</FormTemplates>
</file>

<file path=customXml/item25.xml>��
</file>

<file path=customXml/itemProps1.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2.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3.xml><?xml version="1.0" encoding="utf-8"?>
<ds:datastoreItem xmlns:ds="http://schemas.openxmlformats.org/officeDocument/2006/customXml" ds:itemID="{4F428D2F-958C-4F90-BAE5-DE993D97C453}">
  <ds:schemaRefs>
    <ds:schemaRef ds:uri="http://schemas.microsoft.com/office/infopath/2007/PartnerControls"/>
    <ds:schemaRef ds:uri="http://www.w3.org/XML/1998/namespace"/>
    <ds:schemaRef ds:uri="http://schemas.microsoft.com/office/2006/metadata/properties"/>
    <ds:schemaRef ds:uri="9d226c47-cd18-4964-9161-6ccb92249125"/>
    <ds:schemaRef ds:uri="http://schemas.openxmlformats.org/package/2006/metadata/core-properties"/>
    <ds:schemaRef ds:uri="http://schemas.microsoft.com/office/2006/documentManagement/types"/>
    <ds:schemaRef ds:uri="http://purl.org/dc/dcmitype/"/>
    <ds:schemaRef ds:uri="http://purl.org/dc/elements/1.1/"/>
    <ds:schemaRef ds:uri="http://purl.org/dc/terms/"/>
    <ds:schemaRef ds:uri="00626a45-2e8b-44e2-b2b6-fb30aea60018"/>
  </ds:schemaRefs>
</ds:datastoreItem>
</file>

<file path=customXml/itemProps4.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5.xml><?xml version="1.0" encoding="utf-8"?>
<ds:datastoreItem xmlns:ds="http://schemas.openxmlformats.org/officeDocument/2006/customXml" ds:itemID="{CE1858E8-BA2D-4875-9272-28444F7693F6}">
  <ds:schemaRefs>
    <ds:schemaRef ds:uri="http://gemini/pivotcustomization/Diagrams"/>
  </ds:schemaRefs>
</ds:datastoreItem>
</file>

<file path=customXml/itemProps6.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7.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8.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9.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10.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11.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12.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13.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14.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15.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16.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17.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18.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19.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20.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21.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22.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23.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24.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25.xml><?xml version="1.0" encoding="utf-8"?>
<ds:datastoreItem xmlns:ds="http://schemas.openxmlformats.org/officeDocument/2006/customXml" ds:itemID="{AAA16094-6EFC-4DAB-BA70-5996474E7C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SpecificationToCustomerTech</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2026-10-15T17:06:57Z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