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3.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1"/>
  <workbookPr defaultThemeVersion="166925"/>
  <mc:AlternateContent xmlns:mc="http://schemas.openxmlformats.org/markup-compatibility/2006">
    <mc:Choice Requires="x15">
      <x15ac:absPath xmlns:x15ac="http://schemas.microsoft.com/office/spreadsheetml/2010/11/ac" url="https://d.docs.live.net/960f393676dadff3/06__LLS_Horizon_2025/CONTRACT/2026/8_2026-N1-Горизонт/02__Спецификации/02__Спецификации/40__to_customer_fin/"/>
    </mc:Choice>
  </mc:AlternateContent>
  <xr:revisionPtr revIDLastSave="421" documentId="8_{30280AE3-AA36-4A79-9243-6EF9C696F433}" xr6:coauthVersionLast="47" xr6:coauthVersionMax="47" xr10:uidLastSave="{72F4BDD5-06DD-43E6-B30C-BE6A4A09427B}"/>
  <bookViews>
    <workbookView xWindow="6108" yWindow="1452" windowWidth="25080" windowHeight="22476" tabRatio="633" xr2:uid="{00000000-000D-0000-FFFF-FFFF00000000}"/>
  </bookViews>
  <sheets>
    <sheet name="SpecificationToCustomerFin" sheetId="44" r:id="rId1"/>
    <sheet name="TableSchema" sheetId="18" state="hidden" r:id="rId2"/>
    <sheet name="ConfigJSON" sheetId="17" state="hidden" r:id="rId3"/>
  </sheets>
  <definedNames>
    <definedName name="_xlcn.WorksheetConnection_ШаблонспецификацияworkspecN2025.xlsxTabSpecificationWork_1" hidden="1">TabSpecificationWork_1</definedName>
    <definedName name="_xlcn.WorksheetConnection_ШаблонспецификацияworkspecN2025.xlsxTabSpecificationWork_2" hidden="1">TabSpecificationWork_2</definedName>
    <definedName name="ExternalData_1" localSheetId="0" hidden="1">SpecificationToCustomerFin!$A$1:$I$9</definedName>
  </definedNames>
  <calcPr calcId="191028"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 i="44" l="1"/>
  <c r="H10" i="4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tc={E72C4575-B903-42C0-BF0C-095553A1C54C}</author>
    <author>tc={467C0B6F-9F95-4DB0-BF80-F675DE91455F}</author>
    <author>tc={4CFBF6B6-7EFD-4069-8DE5-8B3A382DE8B5}</author>
    <author>tc={F53B5208-810B-4812-85B6-273910B12FA2}</author>
    <author>tc={402736B6-8AA9-44F1-87AF-DCFCB998D9A2}</author>
    <author>tc={73665B3F-01E8-4647-B7CF-D2ADCE5DFF7A}</author>
    <author>tc={BF2E705E-F92F-4135-963A-1D08D1A86B10}</author>
    <author>tc={BA3FC78D-DF56-4299-98BA-EF543AEDDE96}</author>
    <author>tc={C4590EF0-B4FA-4AF9-B9E3-97C4D5D4FB74}</author>
    <author>tc={1B29FCF3-2C93-496F-9F2F-E1BE3F0529EE}</author>
    <author>tc={2C9CD6CD-74E9-4E5F-9945-3215BE6F4F59}</author>
    <author>tc={38ECDC56-C1B3-4279-9135-C2F194AF05C2}</author>
    <author>tc={0E01910B-EABC-47EE-A6F2-36B241839F32}</author>
    <author>tc={2542A1D5-C697-4EB9-ADE5-2F46F073681A}</author>
  </authors>
  <commentList>
    <comment ref="B1" authorId="0" shapeId="0" xr:uid="{E72C4575-B903-42C0-BF0C-095553A1C54C}">
      <text>
        <t>[Threaded comment]
Your version of Excel allows you to read this threaded comment; however, any edits to it will get removed if the file is opened in a newer version of Excel. Learn more: https://go.microsoft.com/fwlink/?linkid=870924
Comment:
    Нумерация в соответствии с нумерацией столбцов Excel</t>
      </text>
    </comment>
    <comment ref="C1" authorId="1" shapeId="0" xr:uid="{467C0B6F-9F95-4DB0-BF80-F675DE91455F}">
      <text>
        <t>[Threaded comment]
Your version of Excel allows you to read this threaded comment; however, any edits to it will get removed if the file is opened in a newer version of Excel. Learn more: https://go.microsoft.com/fwlink/?linkid=870924
Comment:
    Рабочее наименование столбца</t>
      </text>
    </comment>
    <comment ref="D1" authorId="2" shapeId="0" xr:uid="{4CFBF6B6-7EFD-4069-8DE5-8B3A382DE8B5}">
      <text>
        <t>[Threaded comment]
Your version of Excel allows you to read this threaded comment; however, any edits to it will get removed if the file is opened in a newer version of Excel. Learn more: https://go.microsoft.com/fwlink/?linkid=870924
Comment:
    Технологический столбец. Здесь содержится рекомендуемое наименование на русском языке в случае когда требуется конвертировать таблицу и результирующей таблице должны быть русскоязычные наименования</t>
      </text>
    </comment>
    <comment ref="E1" authorId="3" shapeId="0" xr:uid="{F53B5208-810B-4812-85B6-273910B12FA2}">
      <text>
        <t>[Threaded comment]
Your version of Excel allows you to read this threaded comment; however, any edits to it will get removed if the file is opened in a newer version of Excel. Learn more: https://go.microsoft.com/fwlink/?linkid=870924
Comment:
    Тип данных столбца, который необходимо задать вконфигурации JSON. Данный параметр отработает при валидации таблицы</t>
      </text>
    </comment>
    <comment ref="F1" authorId="4" shapeId="0" xr:uid="{402736B6-8AA9-44F1-87AF-DCFCB998D9A2}">
      <text>
        <t xml:space="preserve">[Threaded comment]
Your version of Excel allows you to read this threaded comment; however, any edits to it will get removed if the file is opened in a newer version of Excel. Learn more: https://go.microsoft.com/fwlink/?linkid=870924
Comment:
    Диапазон допустимых значений
</t>
      </text>
    </comment>
    <comment ref="G1" authorId="5" shapeId="0" xr:uid="{73665B3F-01E8-4647-B7CF-D2ADCE5DFF7A}">
      <text>
        <t>[Threaded comment]
Your version of Excel allows you to read this threaded comment; however, any edits to it will get removed if the file is opened in a newer version of Excel. Learn more: https://go.microsoft.com/fwlink/?linkid=870924
Comment:
    Признак того что столбец должен хранить только уникальные значения</t>
      </text>
    </comment>
    <comment ref="H1" authorId="6" shapeId="0" xr:uid="{BF2E705E-F92F-4135-963A-1D08D1A86B10}">
      <text>
        <t>[Threaded comment]
Your version of Excel allows you to read this threaded comment; however, any edits to it will get removed if the file is opened in a newer version of Excel. Learn more: https://go.microsoft.com/fwlink/?linkid=870924
Comment:
    Признак допустимости ‘null’ (т.е. пустых) значения в данном столбце</t>
      </text>
    </comment>
    <comment ref="I1" authorId="7" shapeId="0" xr:uid="{BA3FC78D-DF56-4299-98BA-EF543AEDDE96}">
      <text>
        <t>[Threaded comment]
Your version of Excel allows you to read this threaded comment; however, any edits to it will get removed if the file is opened in a newer version of Excel. Learn more: https://go.microsoft.com/fwlink/?linkid=870924
Comment:
    Автоматически заполняемый столбец. Пользователь не должен руками вносить значения</t>
      </text>
    </comment>
    <comment ref="J1" authorId="8" shapeId="0" xr:uid="{C4590EF0-B4FA-4AF9-B9E3-97C4D5D4FB74}">
      <text>
        <t>[Threaded comment]
Your version of Excel allows you to read this threaded comment; however, any edits to it will get removed if the file is opened in a newer version of Excel. Learn more: https://go.microsoft.com/fwlink/?linkid=870924
Comment:
    Флаг ‘’разрешает’’ в соответствии с бизнес процессами ручную/автоматизированную корректировку значений хранящихся в данном столбце определяемыми специфичными условиями проекта или взаимоотношений с заказчиком</t>
      </text>
    </comment>
    <comment ref="K1" authorId="9" shapeId="0" xr:uid="{1B29FCF3-2C93-496F-9F2F-E1BE3F0529EE}">
      <text>
        <t>[Threaded comment]
Your version of Excel allows you to read this threaded comment; however, any edits to it will get removed if the file is opened in a newer version of Excel. Learn more: https://go.microsoft.com/fwlink/?linkid=870924
Comment:
    Значение не равное ‘none’ показывает что значения столбца обязаны заполняться из HandBbook (т.е. из справочной таблицы). В таком случае необходимо указать название справочной таблицы к которой привязан столбец. 
Важно: указывается не локальный Handbook 2-го типа а именно таблица- первоисточник данных</t>
      </text>
    </comment>
    <comment ref="L1" authorId="10" shapeId="0" xr:uid="{2C9CD6CD-74E9-4E5F-9945-3215BE6F4F59}">
      <text>
        <t>[Threaded comment]
Your version of Excel allows you to read this threaded comment; however, any edits to it will get removed if the file is opened in a newer version of Excel. Learn more: https://go.microsoft.com/fwlink/?linkid=870924
Comment:
    Признак выбора значений из выпадающего списка</t>
      </text>
    </comment>
    <comment ref="M1" authorId="11" shapeId="0" xr:uid="{38ECDC56-C1B3-4279-9135-C2F194AF05C2}">
      <text>
        <t xml:space="preserve">[Threaded comment]
Your version of Excel allows you to read this threaded comment; however, any edits to it will get removed if the file is opened in a newer version of Excel. Learn more: https://go.microsoft.com/fwlink/?linkid=870924
Comment:
    Тип данных который необходимо задать в Excel при первом создании каркаса таблицы. Необходимо соблюдать правило при котором типы заданные в JSON конфигурации и в Excel - совпадают по возможностям
</t>
      </text>
    </comment>
    <comment ref="P1" authorId="12" shapeId="0" xr:uid="{0E01910B-EABC-47EE-A6F2-36B241839F32}">
      <text>
        <t>[Threaded comment]
Your version of Excel allows you to read this threaded comment; however, any edits to it will get removed if the file is opened in a newer version of Excel. Learn more: https://go.microsoft.com/fwlink/?linkid=870924
Comment:
    Включить перенос текста</t>
      </text>
    </comment>
    <comment ref="Q1" authorId="13" shapeId="0" xr:uid="{2542A1D5-C697-4EB9-ADE5-2F46F073681A}">
      <text>
        <t xml:space="preserve">[Threaded comment]
Your version of Excel allows you to read this threaded comment; however, any edits to it will get removed if the file is opened in a newer version of Excel. Learn more: https://go.microsoft.com/fwlink/?linkid=870924
Comment:
    Комментарий поясняющий смысл хранимых в столбце данных, также ряд ограничений связанных с ним и ряд другой информации.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tc={677E766F-DCD2-40C5-BCF6-694B76559E7B}</author>
    <author>tc={9097B5E4-5BB8-495D-920F-57E4FE5CA3D9}</author>
    <author>tc={EAFE6082-86D5-4614-8F32-BA64CCE0A820}</author>
    <author>tc={324BD8BD-4E4A-4D8A-8018-FCE55CC73CF0}</author>
  </authors>
  <commentList>
    <comment ref="A1" authorId="0" shapeId="0" xr:uid="{677E766F-DCD2-40C5-BCF6-694B76559E7B}">
      <text>
        <t>[Threaded comment]
Your version of Excel allows you to read this threaded comment; however, any edits to it will get removed if the file is opened in a newer version of Excel. Learn more: https://go.microsoft.com/fwlink/?linkid=870924
Comment:
    Столбец хранит уникальный, для данной таблицы в данной Excel книге, целочисленные идентификаторы. Данный идентификатор не является основообразующим для работы BI скриптов, в качестве таковых выступают значения ключевого для данной таблицы столбца - 'IDconfig'. Тем не менее к столбцу предъявляются типовые требования целочисленных ID столбцов - значения должны быть целочисленным, начинаться строго с '1' и не иметь разрывов и перескоков в цепочке значений.</t>
      </text>
    </comment>
    <comment ref="B1" authorId="1" shapeId="0" xr:uid="{9097B5E4-5BB8-495D-920F-57E4FE5CA3D9}">
      <text>
        <t>[Threaded comment]
Your version of Excel allows you to read this threaded comment; however, any edits to it will get removed if the file is opened in a newer version of Excel. Learn more: https://go.microsoft.com/fwlink/?linkid=870924
Comment:
    Столбец хранит уникальные, для данной таблицы в данной Excel книге, текстовые идентификаторы. По данному идентификатору внешний Power Query скрипт будет находить  требуемый конфигурационный JSON объект в столбце ‘CONFIG_JSON’ и обрабатывать таблицу в соответствии с ним. В качестве значений могут выступать любые текстовые фразы, в том числе состоящие из нескольких слов но не имеющие в своем составе пробелов, также необходимо соблюдать язык символов - только латиница.</t>
      </text>
    </comment>
    <comment ref="C1" authorId="2" shapeId="0" xr:uid="{EAFE6082-86D5-4614-8F32-BA64CCE0A820}">
      <text>
        <t>[Threaded comment]
Your version of Excel allows you to read this threaded comment; however, any edits to it will get removed if the file is opened in a newer version of Excel. Learn more: https://go.microsoft.com/fwlink/?linkid=870924
Comment:
    Столбец хранит набор конфигурационных объектов, строго в формате JSON, в которых на языке 'HorizonBI' описано:
'ЧТО/КАК/В КАКОМ ОБЪЕМЕ' необходимо обработать объект Excel книги.</t>
      </text>
    </comment>
    <comment ref="D1" authorId="3" shapeId="0" xr:uid="{324BD8BD-4E4A-4D8A-8018-FCE55CC73CF0}">
      <text>
        <t>[Threaded comment]
Your version of Excel allows you to read this threaded comment; however, any edits to it will get removed if the file is opened in a newer version of Excel. Learn more: https://go.microsoft.com/fwlink/?linkid=870924
Comment:
    Комментарий определяющий назначение конфигурационного JSON объекта.</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2FC4766-FE53-4913-87C5-FA57CF980B52}" keepAlive="1" name="ThisWorkbookDataModel" description="Модель данных"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20033BA-DA1B-4D40-B043-2A7725E1A0F3}" name="WorksheetConnection_Шаблон-спецификация work spec ^N2025.xlsx!TabSpecificationWork_1" type="102" refreshedVersion="8" minRefreshableVersion="5">
    <extLst>
      <ext xmlns:x15="http://schemas.microsoft.com/office/spreadsheetml/2010/11/main" uri="{DE250136-89BD-433C-8126-D09CA5730AF9}">
        <x15:connection id="TabSpecificationWork_1" autoDelete="1">
          <x15:rangePr sourceName="_xlcn.WorksheetConnection_ШаблонспецификацияworkspecN2025.xlsxTabSpecificationWork_1"/>
        </x15:connection>
      </ext>
    </extLst>
  </connection>
  <connection id="3" xr16:uid="{8AACF328-DBA8-4490-9435-12D7A95ED362}" name="WorksheetConnection_Шаблон-спецификация work spec ^N2025.xlsx!TabSpecificationWork_2" type="102" refreshedVersion="8" minRefreshableVersion="5">
    <extLst>
      <ext xmlns:x15="http://schemas.microsoft.com/office/spreadsheetml/2010/11/main" uri="{DE250136-89BD-433C-8126-D09CA5730AF9}">
        <x15:connection id="TabSpecificationWork_2">
          <x15:rangePr sourceName="_xlcn.WorksheetConnection_ШаблонспецификацияworkspecN2025.xlsxTabSpecificationWork_2"/>
        </x15:connection>
      </ext>
    </extLst>
  </connection>
  <connection id="4" xr16:uid="{600E5483-04DA-45C5-A50D-56D679FA84AC}" keepAlive="1" name="Запрос — Corporation(1)" description="Соединение с запросом &quot;Corporation&quot; в книге." type="5" refreshedVersion="0" background="1">
    <dbPr connection="Provider=Microsoft.Mashup.OleDb.1;Data Source=$Workbook$;Location=Corporation;Extended Properties=&quot;&quot;" command="SELECT * FROM [Corporation]"/>
  </connection>
  <connection id="5" xr16:uid="{4A619DB3-1083-4F2C-9832-140819114C90}" keepAlive="1" name="Запрос — Counterparty" description="Соединение с запросом &quot;Counterparty&quot; в книге." type="5" refreshedVersion="0" background="1">
    <dbPr connection="Provider=Microsoft.Mashup.OleDb.1;Data Source=$Workbook$;Location=Counterparty;Extended Properties=&quot;&quot;" command="SELECT * FROM [Counterparty]"/>
  </connection>
  <connection id="6" xr16:uid="{3FC9813E-EDE7-465C-BB83-44C481FCBAF7}" keepAlive="1" name="Запрос — fnGetColumnNamesByTableName" description="Соединение с запросом &quot;fnGetColumnNamesByTableName&quot; в книге." type="5" refreshedVersion="0" background="1">
    <dbPr connection="Provider=Microsoft.Mashup.OleDb.1;Data Source=$Workbook$;Location=fnGetColumnNamesByTableName;Extended Properties=&quot;&quot;" command="SELECT * FROM [fnGetColumnNamesByTableName]"/>
  </connection>
  <connection id="7" xr16:uid="{ED570F2B-77CF-4335-A6AB-0EAE1164B64D}" keepAlive="1" name="Запрос — ftCapitalizeWords" description="Соединение с запросом &quot;ftCapitalizeWords&quot; в книге." type="5" refreshedVersion="0" background="1">
    <dbPr connection="Provider=Microsoft.Mashup.OleDb.1;Data Source=$Workbook$;Location=ftCapitalizeWords;Extended Properties=&quot;&quot;" command="SELECT * FROM [ftCapitalizeWords]"/>
  </connection>
  <connection id="8" xr16:uid="{EE508F9E-96E9-4D70-8EBD-470286DF55CB}" keepAlive="1" name="Запрос — ftCreateFullNameColumn" description="Соединение с запросом &quot;ftCreateFullNameColumn&quot; в книге." type="5" refreshedVersion="0" background="1">
    <dbPr connection="Provider=Microsoft.Mashup.OleDb.1;Data Source=$Workbook$;Location=ftCreateFullNameColumn;Extended Properties=&quot;&quot;" command="SELECT * FROM [ftCreateFullNameColumn]"/>
  </connection>
  <connection id="9" xr16:uid="{D0A0DF4D-15B8-446F-997B-31A45F1A9BF5}" keepAlive="1" name="Запрос — ftGetFullNameColumn" description="Соединение с запросом &quot;ftGetFullNameColumn&quot; в книге." type="5" refreshedVersion="0" background="1">
    <dbPr connection="Provider=Microsoft.Mashup.OleDb.1;Data Source=$Workbook$;Location=ftGetFullNameColumn;Extended Properties=&quot;&quot;" command="SELECT * FROM [ftGetFullNameColumn]"/>
  </connection>
  <connection id="10" xr16:uid="{022B6E77-FD56-41CF-9B5B-316664439645}" keepAlive="1" name="Запрос — ftNormalizeDates" description="Соединение с запросом &quot;ftNormalizeDates&quot; в книге." type="5" refreshedVersion="0" background="1">
    <dbPr connection="Provider=Microsoft.Mashup.OleDb.1;Data Source=$Workbook$;Location=ftNormalizeDates;Extended Properties=&quot;&quot;" command="SELECT * FROM [ftNormalizeDates]"/>
  </connection>
  <connection id="11" xr16:uid="{EFBBC001-9590-4159-B59C-65CB9427EBE1}" keepAlive="1" name="Запрос — ftRemoveColumnsStrict" description="Соединение с запросом &quot;ftRemoveColumnsStrict&quot; в книге." type="5" refreshedVersion="0" background="1">
    <dbPr connection="Provider=Microsoft.Mashup.OleDb.1;Data Source=$Workbook$;Location=ftRemoveColumnsStrict;Extended Properties=&quot;&quot;" command="SELECT * FROM [ftRemoveColumnsStrict]"/>
  </connection>
  <connection id="12" xr16:uid="{B6DFCEFE-5E2D-44A2-AE3F-734B8AA70B40}" keepAlive="1" name="Запрос — ftReorderColumnsStrict" description="Соединение с запросом &quot;ftReorderColumnsStrict&quot; в книге." type="5" refreshedVersion="0" background="1">
    <dbPr connection="Provider=Microsoft.Mashup.OleDb.1;Data Source=$Workbook$;Location=ftReorderColumnsStrict;Extended Properties=&quot;&quot;" command="SELECT * FROM [ftReorderColumnsStrict]"/>
  </connection>
  <connection id="13" xr16:uid="{8524AC48-AB0F-4A0B-89DD-41437F16A325}" keepAlive="1" name="Запрос — ftToLowerCase" description="Соединение с запросом &quot;ftToLowerCase&quot; в книге." type="5" refreshedVersion="0" background="1">
    <dbPr connection="Provider=Microsoft.Mashup.OleDb.1;Data Source=$Workbook$;Location=ftToLowerCase;Extended Properties=&quot;&quot;" command="SELECT * FROM [ftToLowerCase]"/>
  </connection>
  <connection id="14" xr16:uid="{CE7CBBC1-35C9-42F5-9D2A-D08575092BF0}" keepAlive="1" name="Запрос — ftToUpperCase" description="Соединение с запросом &quot;ftToUpperCase&quot; в книге." type="5" refreshedVersion="0" background="1">
    <dbPr connection="Provider=Microsoft.Mashup.OleDb.1;Data Source=$Workbook$;Location=ftToUpperCase;Extended Properties=&quot;&quot;" command="SELECT * FROM [ftToUpperCase]"/>
  </connection>
  <connection id="15" xr16:uid="{476D5206-B769-4E7A-8AA6-8EBE23DDC54A}" keepAlive="1" name="Запрос — ftTrimTextColumns" description="Соединение с запросом &quot;ftTrimTextColumns&quot; в книге." type="5" refreshedVersion="0" background="1">
    <dbPr connection="Provider=Microsoft.Mashup.OleDb.1;Data Source=$Workbook$;Location=ftTrimTextColumns;Extended Properties=&quot;&quot;" command="SELECT * FROM [ftTrimTextColumns]"/>
  </connection>
  <connection id="16" xr16:uid="{3ED31CBD-B0FD-4170-878F-E0AB037A8209}" keepAlive="1" name="Запрос — fvCheckBoolean" description="Соединение с запросом &quot;fvCheckBoolean&quot; в книге." type="5" refreshedVersion="0" background="1">
    <dbPr connection="Provider=Microsoft.Mashup.OleDb.1;Data Source=$Workbook$;Location=fvCheckBoolean;Extended Properties=&quot;&quot;" command="SELECT * FROM [fvCheckBoolean]"/>
  </connection>
  <connection id="17" xr16:uid="{8ABFF21D-901B-47FE-9720-C211F7C71F75}" keepAlive="1" name="Запрос — fvCheckDate" description="Соединение с запросом &quot;fvCheckDate&quot; в книге." type="5" refreshedVersion="0" background="1">
    <dbPr connection="Provider=Microsoft.Mashup.OleDb.1;Data Source=$Workbook$;Location=fvCheckDate;Extended Properties=&quot;&quot;" command="SELECT * FROM [fvCheckDate]"/>
  </connection>
  <connection id="18" xr16:uid="{F1605377-4F8D-466F-AB6C-0615716A38A4}" keepAlive="1" name="Запрос — fvCheckDateRange" description="Соединение с запросом &quot;fvCheckDateRange&quot; в книге." type="5" refreshedVersion="0" background="1">
    <dbPr connection="Provider=Microsoft.Mashup.OleDb.1;Data Source=$Workbook$;Location=fvCheckDateRange;Extended Properties=&quot;&quot;" command="SELECT * FROM [fvCheckDateRange]"/>
  </connection>
  <connection id="19" xr16:uid="{06F6936D-08FF-49FB-84A8-C44708721046}" keepAlive="1" name="Запрос — fvCheckEmail" description="Соединение с запросом &quot;fvCheckEmail&quot; в книге." type="5" refreshedVersion="0" background="1">
    <dbPr connection="Provider=Microsoft.Mashup.OleDb.1;Data Source=$Workbook$;Location=fvCheckEmail;Extended Properties=&quot;&quot;" command="SELECT * FROM [fvCheckEmail]"/>
  </connection>
  <connection id="20" xr16:uid="{726A02B3-9115-4067-8386-72C394005663}" keepAlive="1" name="Запрос — fvCheckFloat" description="Соединение с запросом &quot;fvCheckFloat&quot; в книге." type="5" refreshedVersion="0" background="1">
    <dbPr connection="Provider=Microsoft.Mashup.OleDb.1;Data Source=$Workbook$;Location=fvCheckFloat;Extended Properties=&quot;&quot;" command="SELECT * FROM [fvCheckFloat]"/>
  </connection>
  <connection id="21" xr16:uid="{55235942-EA85-4617-BF3D-825DA21B584E}" keepAlive="1" name="Запрос — fvCheckFloatRange" description="Соединение с запросом &quot;fvCheckFloatRange&quot; в книге." type="5" refreshedVersion="0" background="1">
    <dbPr connection="Provider=Microsoft.Mashup.OleDb.1;Data Source=$Workbook$;Location=fvCheckFloatRange;Extended Properties=&quot;&quot;" command="SELECT * FROM [fvCheckFloatRange]"/>
  </connection>
  <connection id="22" xr16:uid="{111BE1CA-D942-460D-83A5-BFCA256230EF}" keepAlive="1" name="Запрос — fvCheckID_2" description="Соединение с запросом &quot;fvCheckID_2&quot; в книге." type="5" refreshedVersion="0" background="1">
    <dbPr connection="Provider=Microsoft.Mashup.OleDb.1;Data Source=$Workbook$;Location=fvCheckID_2;Extended Properties=&quot;&quot;" command="SELECT * FROM [fvCheckID_2]"/>
  </connection>
  <connection id="23" xr16:uid="{89030697-5D70-44AE-BD78-ED69A03C2CDC}" keepAlive="1" name="Запрос — fvCheckINN_LLC" description="Соединение с запросом &quot;fvCheckINN_LLC&quot; в книге." type="5" refreshedVersion="0" background="1">
    <dbPr connection="Provider=Microsoft.Mashup.OleDb.1;Data Source=$Workbook$;Location=fvCheckINN_LLC;Extended Properties=&quot;&quot;" command="SELECT * FROM [fvCheckINN_LLC]"/>
  </connection>
  <connection id="24" xr16:uid="{C98FA24B-B50B-49EE-B3BE-EEADC1FB3C52}" keepAlive="1" name="Запрос — fvCheckINN_Personal" description="Соединение с запросом &quot;fvCheckINN_Personal&quot; в книге." type="5" refreshedVersion="0" background="1">
    <dbPr connection="Provider=Microsoft.Mashup.OleDb.1;Data Source=$Workbook$;Location=fvCheckINN_Personal;Extended Properties=&quot;&quot;" command="SELECT * FROM [fvCheckINN_Personal]"/>
  </connection>
  <connection id="25" xr16:uid="{0CECA61C-4058-4AE1-B2B1-14E26BBE73FE}" keepAlive="1" name="Запрос — fvCheckInteger" description="Соединение с запросом &quot;fvCheckInteger&quot; в книге." type="5" refreshedVersion="0" background="1">
    <dbPr connection="Provider=Microsoft.Mashup.OleDb.1;Data Source=$Workbook$;Location=fvCheckInteger;Extended Properties=&quot;&quot;" command="SELECT * FROM [fvCheckInteger]"/>
  </connection>
  <connection id="26" xr16:uid="{5796186F-CB70-43C4-933A-424F84C676B0}" keepAlive="1" name="Запрос — fvCheckIntegerRange" description="Соединение с запросом &quot;fvCheckIntegerRange&quot; в книге." type="5" refreshedVersion="0" background="1">
    <dbPr connection="Provider=Microsoft.Mashup.OleDb.1;Data Source=$Workbook$;Location=fvCheckIntegerRange;Extended Properties=&quot;&quot;" command="SELECT * FROM [fvCheckIntegerRange]"/>
  </connection>
  <connection id="27" xr16:uid="{1F0B29A6-33DD-42A0-B218-39BC28872046}" keepAlive="1" name="Запрос — fvCheckKPP" description="Соединение с запросом &quot;fvCheckKPP&quot; в книге." type="5" refreshedVersion="0" background="1">
    <dbPr connection="Provider=Microsoft.Mashup.OleDb.1;Data Source=$Workbook$;Location=fvCheckKPP;Extended Properties=&quot;&quot;" command="SELECT * FROM [fvCheckKPP]"/>
  </connection>
  <connection id="28" xr16:uid="{9928A786-61F9-42EC-B3AA-92DDA7B28D25}" keepAlive="1" name="Запрос — fvCheckNonEmpty" description="Соединение с запросом &quot;fvCheckNonEmpty&quot; в книге." type="5" refreshedVersion="0" background="1">
    <dbPr connection="Provider=Microsoft.Mashup.OleDb.1;Data Source=$Workbook$;Location=fvCheckNonEmpty;Extended Properties=&quot;&quot;" command="SELECT * FROM [fvCheckNonEmpty]"/>
  </connection>
  <connection id="29" xr16:uid="{AD415652-5141-4A14-8ADB-02AFE8BAD715}" keepAlive="1" name="Запрос — fvCheckPassportNumber" description="Соединение с запросом &quot;fvCheckPassportNumber&quot; в книге." type="5" refreshedVersion="0" background="1">
    <dbPr connection="Provider=Microsoft.Mashup.OleDb.1;Data Source=$Workbook$;Location=fvCheckPassportNumber;Extended Properties=&quot;&quot;" command="SELECT * FROM [fvCheckPassportNumber]"/>
  </connection>
  <connection id="30" xr16:uid="{EE30D2C4-CAFF-4A24-A8B2-4986F34B6417}" keepAlive="1" name="Запрос — fvCheckPassportSeries" description="Соединение с запросом &quot;fvCheckPassportSeries&quot; в книге." type="5" refreshedVersion="0" background="1">
    <dbPr connection="Provider=Microsoft.Mashup.OleDb.1;Data Source=$Workbook$;Location=fvCheckPassportSeries;Extended Properties=&quot;&quot;" command="SELECT * FROM [fvCheckPassportSeries]"/>
  </connection>
  <connection id="31" xr16:uid="{A0709AE1-9470-4BF0-B77D-840B4287E9EE}" keepAlive="1" name="Запрос — fvCheckPassportUnitCode" description="Соединение с запросом &quot;fvCheckPassportUnitCode&quot; в книге." type="5" refreshedVersion="0" background="1">
    <dbPr connection="Provider=Microsoft.Mashup.OleDb.1;Data Source=$Workbook$;Location=fvCheckPassportUnitCode;Extended Properties=&quot;&quot;" command="SELECT * FROM [fvCheckPassportUnitCode]"/>
  </connection>
  <connection id="32" xr16:uid="{F9742020-A499-4D83-8B9A-B81ACADA7321}" keepAlive="1" name="Запрос — fvCheckPhone" description="Соединение с запросом &quot;fvCheckPhone&quot; в книге." type="5" refreshedVersion="0" background="1">
    <dbPr connection="Provider=Microsoft.Mashup.OleDb.1;Data Source=$Workbook$;Location=fvCheckPhone;Extended Properties=&quot;&quot;" command="SELECT * FROM [fvCheckPhone]"/>
  </connection>
  <connection id="33" xr16:uid="{9A780C01-E366-4BC1-94BD-32CF3E8F5F78}" keepAlive="1" name="Запрос — fvCheckSNILS" description="Соединение с запросом &quot;fvCheckSNILS&quot; в книге." type="5" refreshedVersion="0" background="1">
    <dbPr connection="Provider=Microsoft.Mashup.OleDb.1;Data Source=$Workbook$;Location=fvCheckSNILS;Extended Properties=&quot;&quot;" command="SELECT * FROM [fvCheckSNILS]"/>
  </connection>
  <connection id="34" xr16:uid="{D38F85A7-B21A-4DCD-9EC9-74D68A079C53}" keepAlive="1" name="Запрос — fvCheckTextLength" description="Соединение с запросом &quot;fvCheckTextLength&quot; в книге." type="5" refreshedVersion="0" background="1">
    <dbPr connection="Provider=Microsoft.Mashup.OleDb.1;Data Source=$Workbook$;Location=fvCheckTextLength;Extended Properties=&quot;&quot;" command="SELECT * FROM [fvCheckTextLength]"/>
  </connection>
  <connection id="35" xr16:uid="{223BF67F-28BF-444F-99F8-C7B3AD7834B6}" keepAlive="1" name="Запрос — ProcessingTable" description="Соединение с запросом &quot;ProcessingTable&quot; в книге." type="5" refreshedVersion="0" background="1" saveData="1">
    <dbPr connection="Provider=Microsoft.Mashup.OleDb.1;Data Source=$Workbook$;Location=ProcessingTable;Extended Properties=&quot;&quot;" command="SELECT * FROM [ProcessingTable]"/>
  </connection>
  <connection id="36" xr16:uid="{A8A1F686-081A-4454-8018-EA79119BA536}" keepAlive="1" name="Запрос — Project" description="Соединение с запросом &quot;Project&quot; в книге." type="5" refreshedVersion="8" background="1" saveData="1">
    <dbPr connection="Provider=Microsoft.Mashup.OleDb.1;Data Source=$Workbook$;Location=Project;Extended Properties=&quot;&quot;" command="SELECT * FROM [Project]"/>
  </connection>
  <connection id="37" xr16:uid="{34EDC940-1C31-4EEA-8AAE-C03C35AA29E2}" keepAlive="1" name="Запрос — sourceTable_TabCorporationList" description="Соединение с запросом &quot;sourceTable_TabCorporationList&quot; в книге." type="5" refreshedVersion="0" background="1">
    <dbPr connection="Provider=Microsoft.Mashup.OleDb.1;Data Source=$Workbook$;Location=sourceTable_TabCorporationList;Extended Properties=&quot;&quot;" command="SELECT * FROM [sourceTable_TabCorporationList]"/>
  </connection>
  <connection id="38" xr16:uid="{8B90939D-13E3-466C-B012-06D4D6E61D64}" keepAlive="1" name="Запрос — sourceTable_TabCounterpartyList" description="Соединение с запросом &quot;sourceTable_TabCounterpartyList&quot; в книге." type="5" refreshedVersion="0" background="1">
    <dbPr connection="Provider=Microsoft.Mashup.OleDb.1;Data Source=$Workbook$;Location=sourceTable_TabCounterpartyList;Extended Properties=&quot;&quot;" command="SELECT * FROM [sourceTable_TabCounterpartyList]"/>
  </connection>
  <connection id="39" xr16:uid="{9C9D0C37-4DFB-4C8C-8B2B-A86E688D3CA9}" keepAlive="1" name="Запрос — sourceTable_TabProjectList" description="Соединение с запросом &quot;sourceTable_TabProjectList&quot; в книге." type="5" refreshedVersion="0" background="1">
    <dbPr connection="Provider=Microsoft.Mashup.OleDb.1;Data Source=$Workbook$;Location=sourceTable_TabProjectList;Extended Properties=&quot;&quot;" command="SELECT * FROM [sourceTable_TabProjectList]"/>
  </connection>
  <connection id="40" xr16:uid="{BC5B7CDA-8708-4531-8C9C-C1970EE852B5}" keepAlive="1" name="Запрос — sourceTable_TabSupplier" description="Соединение с запросом &quot;sourceTable_TabSupplier&quot; в книге." type="5" refreshedVersion="0" background="1">
    <dbPr connection="Provider=Microsoft.Mashup.OleDb.1;Data Source=$Workbook$;Location=sourceTable_TabSupplier;Extended Properties=&quot;&quot;" command="SELECT * FROM [sourceTable_TabSupplier]"/>
  </connection>
  <connection id="41" xr16:uid="{10D73F9E-1E59-46C3-AD94-AD71BDDE9054}" keepAlive="1" name="Запрос — sourceTable_TabUnits" description="Соединение с запросом &quot;sourceTable_TabUnits&quot; в книге." type="5" refreshedVersion="0" background="1">
    <dbPr connection="Provider=Microsoft.Mashup.OleDb.1;Data Source=$Workbook$;Location=sourceTable_TabUnits;Extended Properties=&quot;&quot;" command="SELECT * FROM [sourceTable_TabUnits]"/>
  </connection>
  <connection id="42" xr16:uid="{FA83B3C6-85E9-43A8-B844-E178EAA98115}" keepAlive="1" name="Запрос — sourceTable_TabVendorAndBrand" description="Соединение с запросом &quot;sourceTable_TabVendorAndBrand&quot; в книге." type="5" refreshedVersion="0" background="1">
    <dbPr connection="Provider=Microsoft.Mashup.OleDb.1;Data Source=$Workbook$;Location=sourceTable_TabVendorAndBrand;Extended Properties=&quot;&quot;" command="SELECT * FROM [sourceTable_TabVendorAndBrand]"/>
  </connection>
  <connection id="43" xr16:uid="{89FD8298-0B16-4A16-8DBD-7158CFEC59B3}" keepAlive="1" name="Запрос — sourceWorkbook_TabCorporationList" description="Соединение с запросом &quot;sourceWorkbook_TabCorporationList&quot; в книге." type="5" refreshedVersion="0" background="1">
    <dbPr connection="Provider=Microsoft.Mashup.OleDb.1;Data Source=$Workbook$;Location=sourceWorkbook_TabCorporationList;Extended Properties=&quot;&quot;" command="SELECT * FROM [sourceWorkbook_TabCorporationList]"/>
  </connection>
  <connection id="44" xr16:uid="{B9C085AB-66B6-4964-A907-048D7684635D}" keepAlive="1" name="Запрос — sourceWorkbook_TabCounterpartyList" description="Соединение с запросом &quot;sourceWorkbook_TabCounterpartyList&quot; в книге." type="5" refreshedVersion="0" background="1">
    <dbPr connection="Provider=Microsoft.Mashup.OleDb.1;Data Source=$Workbook$;Location=sourceWorkbook_TabCounterpartyList;Extended Properties=&quot;&quot;" command="SELECT * FROM [sourceWorkbook_TabCounterpartyList]"/>
  </connection>
  <connection id="45" xr16:uid="{DC5F5DFD-29E0-4AA7-B426-0C4D269E52C0}" keepAlive="1" name="Запрос — sourceWorkbook_TabProjectList" description="Соединение с запросом &quot;sourceWorkbook_TabProjectList&quot; в книге." type="5" refreshedVersion="0" background="1">
    <dbPr connection="Provider=Microsoft.Mashup.OleDb.1;Data Source=$Workbook$;Location=sourceWorkbook_TabProjectList;Extended Properties=&quot;&quot;" command="SELECT * FROM [sourceWorkbook_TabProjectList]"/>
  </connection>
  <connection id="46" xr16:uid="{897FD406-E423-46AF-A1C5-EB4EFCB546A6}" keepAlive="1" name="Запрос — sourceWorkbook_TabSupplier" description="Соединение с запросом &quot;sourceWorkbook_TabSupplier&quot; в книге." type="5" refreshedVersion="0" background="1">
    <dbPr connection="Provider=Microsoft.Mashup.OleDb.1;Data Source=$Workbook$;Location=sourceWorkbook_TabSupplier;Extended Properties=&quot;&quot;" command="SELECT * FROM [sourceWorkbook_TabSupplier]"/>
  </connection>
  <connection id="47" xr16:uid="{CB2626B7-F328-42F9-86F5-66A2FFB98084}" keepAlive="1" name="Запрос — sourceWorkbook_TabUnits" description="Соединение с запросом &quot;sourceWorkbook_TabUnits&quot; в книге." type="5" refreshedVersion="0" background="1">
    <dbPr connection="Provider=Microsoft.Mashup.OleDb.1;Data Source=$Workbook$;Location=sourceWorkbook_TabUnits;Extended Properties=&quot;&quot;" command="SELECT * FROM [sourceWorkbook_TabUnits]"/>
  </connection>
  <connection id="48" xr16:uid="{5615E901-E814-4CC8-B2E9-BA6C95E6980A}" keepAlive="1" name="Запрос — sourceWorkbook_TabVendorAndBrand" description="Соединение с запросом &quot;sourceWorkbook_TabVendorAndBrand&quot; в книге." type="5" refreshedVersion="0" background="1">
    <dbPr connection="Provider=Microsoft.Mashup.OleDb.1;Data Source=$Workbook$;Location=sourceWorkbook_TabVendorAndBrand;Extended Properties=&quot;&quot;" command="SELECT * FROM [sourceWorkbook_TabVendorAndBrand]"/>
  </connection>
  <connection id="49" xr16:uid="{59CE3BEF-5D81-4274-B820-44C98B7F43A4}" keepAlive="1" name="Запрос — Supplier" description="Соединение с запросом &quot;Supplier&quot; в книге." type="5" refreshedVersion="8" background="1" saveData="1">
    <dbPr connection="Provider=Microsoft.Mashup.OleDb.1;Data Source=$Workbook$;Location=Supplier;Extended Properties=&quot;&quot;" command="SELECT * FROM [Supplier]"/>
  </connection>
  <connection id="50" xr16:uid="{43537CE4-1C97-4568-9E1E-8A49854FAC2A}" keepAlive="1" name="Запрос — Units" description="Соединение с запросом &quot;Units&quot; в книге." type="5" refreshedVersion="8" background="1" saveData="1">
    <dbPr connection="Provider=Microsoft.Mashup.OleDb.1;Data Source=$Workbook$;Location=Units;Extended Properties=&quot;&quot;" command="SELECT * FROM [Units]"/>
  </connection>
  <connection id="51" xr16:uid="{2720F50E-F6AD-466B-A4E5-4327A55BA699}" keepAlive="1" name="Запрос — UtilsFunctionScalar" description="Соединение с запросом &quot;UtilsFunctionScalar&quot; в книге." type="5" refreshedVersion="0" background="1">
    <dbPr connection="Provider=Microsoft.Mashup.OleDb.1;Data Source=$Workbook$;Location=UtilsFunctionScalar;Extended Properties=&quot;&quot;" command="SELECT * FROM [UtilsFunctionScalar]"/>
  </connection>
  <connection id="52" xr16:uid="{B73A073B-49A7-47BF-8243-1424C48F3227}" keepAlive="1" name="Запрос — UtilsFunctionVector" description="Соединение с запросом &quot;UtilsFunctionVector&quot; в книге." type="5" refreshedVersion="0" background="1">
    <dbPr connection="Provider=Microsoft.Mashup.OleDb.1;Data Source=$Workbook$;Location=UtilsFunctionVector;Extended Properties=&quot;&quot;" command="SELECT * FROM [UtilsFunctionVector]"/>
  </connection>
  <connection id="53" xr16:uid="{7DB205A0-E9EB-469F-B7AD-140B4F689337}" keepAlive="1" name="Запрос — VendorAndBrand" description="Соединение с запросом &quot;VendorAndBrand&quot; в книге." type="5" refreshedVersion="8" background="1" saveData="1">
    <dbPr connection="Provider=Microsoft.Mashup.OleDb.1;Data Source=$Workbook$;Location=VendorAndBrand;Extended Properties=&quot;&quot;" command="SELECT * FROM [VendorAndBrand]"/>
  </connection>
  <connection id="54" xr16:uid="{F4F5C14C-3CE1-4676-BB6E-59D256E975D8}" keepAlive="1" name="Запрос — Вызванная функцияProcessingTable" description="Соединение с запросом &quot;Вызванная функцияProcessingTable&quot; в книге." type="5" refreshedVersion="8" background="1" saveData="1">
    <dbPr connection="Provider=Microsoft.Mashup.OleDb.1;Data Source=$Workbook$;Location=&quot;Вызванная функцияProcessingTable&quot;;Extended Properties=&quot;&quot;" command="SELECT * FROM [Вызванная функцияProcessingTable]"/>
  </connection>
</connections>
</file>

<file path=xl/sharedStrings.xml><?xml version="1.0" encoding="utf-8"?>
<sst xmlns="http://schemas.openxmlformats.org/spreadsheetml/2006/main" count="194" uniqueCount="99">
  <si>
    <t>№</t>
  </si>
  <si>
    <t>НАИМЕНОВАНИЕ</t>
  </si>
  <si>
    <t>ОПИСАНИЕ И ХАРАКТЕРИСТИКИ</t>
  </si>
  <si>
    <t>ЕД ИЗМ.</t>
  </si>
  <si>
    <t>КОЛ-ВО</t>
  </si>
  <si>
    <t>ЦЕНА БЕЗ НДС, руб</t>
  </si>
  <si>
    <t>СТОИМОСТЬ БЕЗ НДС, руб</t>
  </si>
  <si>
    <t>НДС, руб</t>
  </si>
  <si>
    <t>ДЛИТЕЛЬНОСТЬ РЕАЛИЗАЦИИ, дней</t>
  </si>
  <si>
    <t>1.101.1</t>
  </si>
  <si>
    <t>Проектирование модуля размещения электронных компонентов ПТК</t>
  </si>
  <si>
    <t>Проектирование конструкции модуля, предназначенного для размещения электронных узлов  ПТК Изделия. Состав работ:
- анализ существующего пространства для размещения электроники;
- обмер электронных компонентов ПТК;
- создание упрощенной 3D модели электронных  компонентов ПТК;
- разработка 3D проекта;
- разработка комплекта КД.
 Результатом работ по этапу является:
 - комплект КД для изготовления модуля.</t>
  </si>
  <si>
    <t>шт</t>
  </si>
  <si>
    <t>1.101.2</t>
  </si>
  <si>
    <t>Проектирование узла коммутации сети ~230 В</t>
  </si>
  <si>
    <t>Проектирование конструкции модуля, предназначенного для подключения к Изделию сети переменного тока ~230 В, вынос модуля  в зону доступности  персонала,  интеграция в модуль автоматического выключателя в соответствии с ПУЭ, заземляющего контакта.
Состав работ:
- анализ существующего пространства для размещения модуля;
- обмер электронных компонентов;
- создание упрощенной 3D модели электронных  компонентов;
- разработка 3D проекта;
- разработка комплекта КД.
 Результатом работ по этапу является:
 - комплект КД для изготовления модуля.</t>
  </si>
  <si>
    <t>1.101.3</t>
  </si>
  <si>
    <t>Проектирование интегрированного узла крепления LCD дисплея, хаба АСУ ВУ, RFID и QR считывателей</t>
  </si>
  <si>
    <t>Проектирование конструкции модуля, предназначенного для создания интегрированного узла крепления HMI компонентов - LCD дисплея, хаба АСУ ВУ, RFID и QR считывателя. Данный модуль предназначен для замены крепления существующего моноблока. Модуль ( при соответствующем подборе размера LCD дисплея) устанавливается в нишу Двери №2 (правая дверь) в освободившийся проем.
Состав работ:
- анализ существующего пространства для размещения модуля;
- обмер электронных компонентов;
- создание упрощенной 3D модели электронных  компонентов;
- разработка 3D проекта;
- разработка комплекта КД.
 Результатом работ по этапу является:
 - комплект КД для изготовления модуля.</t>
  </si>
  <si>
    <t>1.101.4</t>
  </si>
  <si>
    <t>Разработка эскизов общего вида Изделия</t>
  </si>
  <si>
    <t>Разработка основных видов Изделия с размерами.  Состав работ:
- анализ геометрии и конструкционных особенностей Изделия;
- обмер основных внешних и внутренних размеров конструкции Изделия;
- создание упрощенной 3D модели изделия;
- разработка 3D проекта;
- разработка комплекта эскизов.
 Результатом работ по этапу является:
 - комплект эскизов.</t>
  </si>
  <si>
    <t>1.101.5</t>
  </si>
  <si>
    <t>Проектирование транспортировочной тары</t>
  </si>
  <si>
    <t>Разработка конструкции транспортировочной тары и элементов защиты внутренних компонентов Изделия критичных к механическим воздействиям. Состав работ:
- анализ геометрии и конструкционных особенностей Изделия;
- изучение существующих решений;
- создание упрощенной 3D модели компонентов подлежащих защите;
- разработка 3D проекта;
- разработка комплекта КД.
 Результатом работ по этапу является:
 - комплект КД для изготовления тары.</t>
  </si>
  <si>
    <t>1.102.1</t>
  </si>
  <si>
    <t>Проектирование внешнего  бокса для размещения HMI компонентов - LCD, RFID, QR, хаб ВУ</t>
  </si>
  <si>
    <t>Проектирование внешнего бокса, предназначенного для  размещения HMI компонентов - LCD, RFID, QR, хаб ВУ. Состав работ:
- анализ существующих решений;
- обмер электронных компонентов;
- создание упрощенной 3D модели электронных  компонентов;
- разработка 3D проекта;
- разработка комплекта КД.
 Результатом работ по этапу является:
 - комплект КД для изготовления модуля.</t>
  </si>
  <si>
    <t>1.101.6</t>
  </si>
  <si>
    <t>Проведение конструкторской и технологической оценки переноса точек крепления колес</t>
  </si>
  <si>
    <t xml:space="preserve">Проведение инженерного анализа текущей конструкции Изделия в точках крепления колес. Цель - оценка возможного решения которое позволит увеличить межосевое расстояние левой и правой пар колес (вдоль длинной стороны Изделия).
Состав работ:
- инженерный анализ текущей конструкции аппарата в точках крепления колес;
- анализ конструкции колес
- оценка вариантов смещения крепления колес.
 Результатом работ по этапу является:
 - отчет с ценкой возможности проведения конструкторсских работ, с кратким описанием технологии решения задачи,  оценкой стоимости и сроков выполнения работ.
</t>
  </si>
  <si>
    <t>1.101.7</t>
  </si>
  <si>
    <t>Проектирование кронштейна для камер видеонаблюдения</t>
  </si>
  <si>
    <t>Проектирование кронштейна для камер видеонаблюдения.
Состав работ:
- анализ конструкции потенциальных точек крепления;
- анализ допустимых трас Ethernet кабеля;
- анализ типов крепления современных IP камер;
- создание упрощенной 3D модели компонентов;
- разработка 3D проекта;
- разработка комплекта КД.
 Результатом работ по этапу является:
 - комплект КД для изготовления модуля.</t>
  </si>
  <si>
    <t>Итог</t>
  </si>
  <si>
    <t>TABLE NAME</t>
  </si>
  <si>
    <t>NUM COLUMN</t>
  </si>
  <si>
    <t>СOLUMNS NAME</t>
  </si>
  <si>
    <t>COLUMN NAME RUS</t>
  </si>
  <si>
    <t>TYPE DATASET</t>
  </si>
  <si>
    <t>RANGE VALUES</t>
  </si>
  <si>
    <t>UNIQUE FLAG</t>
  </si>
  <si>
    <t>NULL VALUE</t>
  </si>
  <si>
    <t>isAUTOMATIC</t>
  </si>
  <si>
    <t>MODIFY FLAG</t>
  </si>
  <si>
    <t>HANDBOOK SOURCE</t>
  </si>
  <si>
    <t>DROPDOWN LIST</t>
  </si>
  <si>
    <t>EXCEL TYPE</t>
  </si>
  <si>
    <t>VERTICAL ALIGNMENT</t>
  </si>
  <si>
    <t>HORIZONTAL ALIGNMENT</t>
  </si>
  <si>
    <t>TRANSFER TEXT</t>
  </si>
  <si>
    <t>COMMENT</t>
  </si>
  <si>
    <t>TabSpecificationToCustomerFin</t>
  </si>
  <si>
    <t>NUM FULL SET</t>
  </si>
  <si>
    <t>text</t>
  </si>
  <si>
    <t>[3, 5]</t>
  </si>
  <si>
    <t>true</t>
  </si>
  <si>
    <t>false</t>
  </si>
  <si>
    <t>none</t>
  </si>
  <si>
    <t>Общий</t>
  </si>
  <si>
    <t>center</t>
  </si>
  <si>
    <t>Полный порядковый номер позиции, состоящий из номер комплекта и номера порядкового в комплекте</t>
  </si>
  <si>
    <t>NAME PRODUCT</t>
  </si>
  <si>
    <t>[3, 300]</t>
  </si>
  <si>
    <t>Текстовый</t>
  </si>
  <si>
    <t>up</t>
  </si>
  <si>
    <t>left</t>
  </si>
  <si>
    <t>Наименование позиции</t>
  </si>
  <si>
    <t>UNITS</t>
  </si>
  <si>
    <t>ЕД ИЗМ</t>
  </si>
  <si>
    <t>[0, 2]</t>
  </si>
  <si>
    <t>Единицы измерения из справочника</t>
  </si>
  <si>
    <t>QUANTITY TOTAL</t>
  </si>
  <si>
    <t>КОЛИЧЕСТВО</t>
  </si>
  <si>
    <t>int</t>
  </si>
  <si>
    <t>[1, 50]</t>
  </si>
  <si>
    <t>Числовой</t>
  </si>
  <si>
    <t>Итоговое количество по данной позиции в поставке</t>
  </si>
  <si>
    <t>PRICE UNIT $TOTAL</t>
  </si>
  <si>
    <t>float</t>
  </si>
  <si>
    <t>[1, 5000000]</t>
  </si>
  <si>
    <t>down</t>
  </si>
  <si>
    <t>right</t>
  </si>
  <si>
    <t>Итоговая цена по позиции - реализация</t>
  </si>
  <si>
    <t>COST $TOTAL</t>
  </si>
  <si>
    <t>[1, 25000000]</t>
  </si>
  <si>
    <t>Итоговая стоимость по позиции - реализация</t>
  </si>
  <si>
    <t>COST ADD VAT $TOTAL</t>
  </si>
  <si>
    <t>Итоговая НДС по позиции - реализация</t>
  </si>
  <si>
    <t>DURATION SALE $TOTAL</t>
  </si>
  <si>
    <t>ДЛИТЕЛЬНОСТЬ РЕАЛИЗАЦИИ,  дней</t>
  </si>
  <si>
    <t>[1, 240]</t>
  </si>
  <si>
    <t>Длительность в календарных днях реализации товара или услуги</t>
  </si>
  <si>
    <t>IDnum</t>
  </si>
  <si>
    <t>IDconfig</t>
  </si>
  <si>
    <t>CONFIG_JSON</t>
  </si>
  <si>
    <t>gen-spec-to_customer_fin-type4-base</t>
  </si>
  <si>
    <t>{
  "TabSpecificationWork": {
    "1": {
      "ValidationData": [
        { "StrictBlock": true },
        { "IDnum": { "fvCheckID": [] } },
        { "NUM PROJECT": { "fvCheckNonEmpty": [], "fvCheckTextLength": [13, 25] } },
        { "NUM ORDER": { "fvCheckNonEmpty": [], "fvCheckIntegerRange": [1, 100] } },
        { "VER COLLECTION": { "fvCheckNonEmpty": [], "fvCheckIntegerRange": [1, 50], "fvCheckSpecUniqueVer": [] } },
        { "DESCRIPTION SET": { "fvCheckNonEmpty": [], "fvCheckTextLength": [5, 300] } },
        { "IDset": { "fvCheckNonEmpty": [], "fvCheckTextLength": [1, 50] } },
        { "NUM SEQUENCE SET": { "fvCheckNonEmpty": [], "fvCheckIntegerRange": [1, 50] } },
        { "NUM FULL SET": { "fvCheckNonEmpty": [], "fvCheckTextLength": [3, 7] } },
        { "isSHIPPED": { "fvCheckNonEmpty": [], "fvCheckTextLength": [4, 5] } },
        { "HASH COLLECTION": { "fvCheckNonEmpty": [], "fvCheckTextLength": [32, 55] } },
        { "NAME PRODUCT": { "fvCheckNonEmpty": [], "fvCheckTextLength": [3, 300] } },
        { "DESCRIPTION PRODUCT": { "fvCheckNonEmpty":  [], "fvCheckTextLength": [10, 1000] } },
        { "BRAND": { "fvCheckNonEmpty": [], "fvCheckTextLength": [3, 50] } },
        { "SUPPLIER": { "fvCheckNonEmpty": [], "fvCheckTextLength": [3, 50] } },
        { "ARTICLE SUPPLIER": { "fvCheckNonEmpty": [], "fvCheckTextLength": [3, 50] } },
        { "ARTICLE INTERNAL": { "fvCheckNonEmpty": [], "fvCheckTextLength": [20, 20] } },
        { "UNITS": { "fvCheckNonEmpty": [], "fvCheckTextLength": [0, 2] } },
        { "QUANTITY SET": { "fvCheckNonEmpty": [], "fvCheckIntegerRange": [1, 50] } },
        { "QUANTITY SHIPPED SET": { "fvCheckNonEmpty": [], "fvCheckIntegerRange": [1, 50] } },
        { "QUANTITY TOTAL": { "fvCheckNonEmpty": [], "fvCheckIntegerRange": [1, 50] } },
        { "QUANTITY SUPPLIER": { "fvCheckNonEmpty": [], "fvCheckIntegerRange": [0, 999] } },
        { "PRICE UNIT $PURCHASE": { "fvCheckNonEmpty": [], "fvCheckFloatRange": [1, 5000000] } },
        { "VAT ADD PRICE $PURCHASE": { "fvCheckNonEmpty": [], "fvCheckFloatRange": [0, 2000000] } },
        { "COST PRICE $PURCHASE": { "fvCheckNonEmpty": [], "fvCheckFloatRange": [1, 10000000] } },
        { "COST PRICE VAT $PURCHASE": { "fvCheckNonEmpty": [], "fvCheckFloatRange": [1, 10000000] } },
        { "COMMENT WORK": { "fvCheckNonEmpty": [], "fvCheckTextLength": [7, 3000] } },
        { "COEFFICIENT MARKUP": { "fvCheckNonEmpty": [], "fvCheckFloatRange": [1, 10] } },
        { "PRICE UNIT $SALE": { "fvCheckNonEmpty": [], "fvCheckFloatRange": [1, 5000000] } },
        { "COST DEAL $SALE": { "fvCheckNonEmpty": [], "fvCheckFloatRange": [1, 25000000] } },
        { "DISCOUNT PERCENT": { "fvCheckNonEmpty": [], "fvCheckFloatRange": [0, 70] } },
        { "DISCOUNT MONEY": { "fvCheckNonEmpty": [], "fvCheckFloatRange": [0, 500000] } },
        { "VAT RATE CONTRACTOR $TOTAL": { "fvCheckNonEmpty": [], "fvCheckFloatRange": [0, 22] } },
        { "PRICE UNIT $TOTAL": { "fvCheckNonEmpty": [], "fvCheckFloatRange": [1, 5000000] } },
        { "VAT ADD PRICE UNIT $TOTAL": { "fvCheckNonEmpty": [], "fvCheckFloatRange": [0, 2000000] } },
        { "PRICE VAT UNIT $TOTAL": { "fvCheckNonEmpty": [], "fvCheckFloatRange": [1, 5000000] } },
        { "COST $TOTAL": { "fvCheckNonEmpty": [], "fvCheckFloatRange": [1, 25000000] } },
        { "COST ADD VAT $TOTAL": { "fvCheckNonEmpty": [], "fvCheckFloatRange": [0, 5000000] } },
        { "COST VAT $TOTAL": { "fvCheckNonEmpty": [], "fvCheckFloatRange": [1, 25000000] } },
        { "DURATION SALE $TOTAL": { "fvCheckNonEmpty": [], "fvCheckIntegerRange": [1, 240] } },
        { "isSUPPLIED": { "fvCheckNonEmpty": [], "fvCheckTextLength": [4, 5] } },
        { "isPROCESSING": { "fvCheckNonEmpty": [], "fvCheckTextLength": [4, 5] } }
      ]
    },
    "2": {
      "ColumnFilterFreeData": [
        { "NUM PROJECT": "8/2026-N1-ГОРИЗОНТ" }
      ],
      "RemoveRowAll": [
        {
          "row_1": {
            "IndexSearchColumn": "isSHIPPED",
            "IndexSearchRow": "false"
          }
        }
      ]
    },
    "3": {
      "FilterSpecMaxVer": []
    },
    "4": {
      "ModifyData": []
    },
    "5": {
      "RemoveXorColumn": [
        "NUM FULL SET",
        "NAME PRODUCT",
        "DESCRIPTION PRODUCT",
        "UNITS",
        "QUANTITY TOTAL",
        "PRICE UNIT $TOTAL",
        "COST $TOTAL",
        "COST ADD VAT $TOTAL",
        "VAT RATE CONTRACTOR $TOTAL",
        "PRICE VAT UNIT $TOTAL",
        "COST VAT $TOTAL",
        "DURATION SALE $TOTAL"
      ],
      "FinancialRound": [
        {
          "rule_1": {
            "SourceQuantity": "QUANTITY TOTAL",
            "SourceBasePrice": "PRICE UNIT $TOTAL",
            "SourceVatRate": "VAT RATE CONTRACTOR $TOTAL",
            "TargetPriceNoVat": "PRICE UNIT $TOTAL",
            "TargetCostNoVat": "COST $TOTAL",
            "TargetVatSum": "COST ADD VAT $TOTAL",
            "TargetPriceVat": "PRICE VAT UNIT $TOTAL",
            "TargetCostVat": "COST VAT $TOTAL"
          }
        }
      ]
    },
    "6": {
      "RemoveXorColumn": [
        "NUM FULL SET",
        "NAME PRODUCT",
        "DESCRIPTION PRODUCT",
        "UNITS",
        "QUANTITY TOTAL",
        "PRICE UNIT $TOTAL",
        "COST $TOTAL",
        "COST ADD VAT $TOTAL",
        "DURATION SALE $TOTAL"
      ],
      "RenameColumn": [
        { "NUM FULL SET": "№" },
        { "NAME PRODUCT": "НАИМЕНОВАНИЕ" },
        { "DESCRIPTION PRODUCT": "ОПИСАНИЕ И ХАРАКТЕРИСТИКИ" },
        { "UNITS": "ЕД ИЗМ." },
        { "QUANTITY TOTAL": "КОЛ-ВО" },
        { "PRICE UNIT $TOTAL": "ЦЕНА БЕЗ НДС, руб" },
        { "COST $TOTAL": "СТОИМОСТЬ БЕЗ НДС, руб" },
        { "COST ADD VAT $TOTAL": "НДС, руб" },
        { "DURATION SALE $TOTAL": "ДЛИТЕЛЬНОСТЬ РЕАЛИЗАЦИИ, дней" }
      ]
    },
    "7": {
      "ColumnSetType": [
        { "№": "text" },
        { "НАИМЕНОВАНИЕ": "text" },
        { "ЕД ИЗМ.": "text" },
        { "КОЛ-ВО": "int" },
        { "ЦЕНА БЕЗ НДС, руб": "float" },
        { "СТОИМОСТЬ БЕЗ НДС, руб": "float" },
        { "НДС, руб": "float" },
        { "ДЛИТЕЛЬНОСТЬ РЕАЛИЗАЦИИ, дней": "int" }
      ]
    }
  }
}</t>
  </si>
  <si>
    <t>DSL - конфигурация предназначена для генерации 'to customer fin' спецификации в соответствии с новыми командами  и требованиями ETL процессора версии - 'rev.05 v02' а также она (конфигурация) явялется разновидность 'type 4' таких спецификаций (см документацию HorizonBI). Днная спецификация не КАСТОМНАЯ (!) это 'база', не предназначенная под конкретный проект, но содержащая основные элменты обработки, трансформации, фильтрации и валидации.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</si>
</sst>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 #,##0.00_-;_-* &quot;-&quot;??_-;_-@_-"/>
    <numFmt numFmtId="164" formatCode="_-* #,##0.00\ _₽_-;\-* #,##0.00\ _₽_-;_-* &quot;-&quot;??\ _₽_-;_-@_-"/>
  </numFmts>
  <fonts count="25">
    <font>
      <sz val="11"/>
      <color theme="1"/>
      <name val="Calibri"/>
      <family val="2"/>
      <charset val="204"/>
      <scheme val="minor"/>
    </font>
    <font>
      <sz val="11"/>
      <color theme="1"/>
      <name val="Calibri"/>
      <family val="2"/>
      <charset val="204"/>
      <scheme val="minor"/>
    </font>
    <font>
      <sz val="18"/>
      <color theme="3"/>
      <name val="Calibri Light"/>
      <family val="2"/>
      <charset val="204"/>
      <scheme val="maj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006100"/>
      <name val="Calibri"/>
      <family val="2"/>
      <charset val="204"/>
      <scheme val="minor"/>
    </font>
    <font>
      <sz val="11"/>
      <color rgb="FF9C0006"/>
      <name val="Calibri"/>
      <family val="2"/>
      <charset val="204"/>
      <scheme val="minor"/>
    </font>
    <font>
      <sz val="11"/>
      <color rgb="FF9C5700"/>
      <name val="Calibri"/>
      <family val="2"/>
      <charset val="204"/>
      <scheme val="minor"/>
    </font>
    <font>
      <sz val="11"/>
      <color rgb="FF3F3F76"/>
      <name val="Calibri"/>
      <family val="2"/>
      <charset val="204"/>
      <scheme val="minor"/>
    </font>
    <font>
      <b/>
      <sz val="11"/>
      <color rgb="FF3F3F3F"/>
      <name val="Calibri"/>
      <family val="2"/>
      <charset val="204"/>
      <scheme val="minor"/>
    </font>
    <font>
      <b/>
      <sz val="11"/>
      <color rgb="FFFA7D00"/>
      <name val="Calibri"/>
      <family val="2"/>
      <charset val="204"/>
      <scheme val="minor"/>
    </font>
    <font>
      <sz val="11"/>
      <color rgb="FFFA7D00"/>
      <name val="Calibri"/>
      <family val="2"/>
      <charset val="204"/>
      <scheme val="minor"/>
    </font>
    <font>
      <b/>
      <sz val="11"/>
      <color theme="0"/>
      <name val="Calibri"/>
      <family val="2"/>
      <charset val="204"/>
      <scheme val="minor"/>
    </font>
    <font>
      <sz val="11"/>
      <color rgb="FFFF0000"/>
      <name val="Calibri"/>
      <family val="2"/>
      <charset val="204"/>
      <scheme val="minor"/>
    </font>
    <font>
      <i/>
      <sz val="11"/>
      <color rgb="FF7F7F7F"/>
      <name val="Calibri"/>
      <family val="2"/>
      <charset val="204"/>
      <scheme val="minor"/>
    </font>
    <font>
      <b/>
      <sz val="11"/>
      <color theme="1"/>
      <name val="Calibri"/>
      <family val="2"/>
      <charset val="204"/>
      <scheme val="minor"/>
    </font>
    <font>
      <sz val="11"/>
      <color theme="0"/>
      <name val="Calibri"/>
      <family val="2"/>
      <charset val="204"/>
      <scheme val="minor"/>
    </font>
    <font>
      <u/>
      <sz val="11"/>
      <color theme="10"/>
      <name val="Calibri"/>
      <family val="2"/>
      <charset val="204"/>
      <scheme val="minor"/>
    </font>
    <font>
      <sz val="8"/>
      <name val="Calibri"/>
      <family val="2"/>
      <charset val="204"/>
      <scheme val="minor"/>
    </font>
    <font>
      <sz val="11"/>
      <color indexed="8"/>
      <name val="Calibri"/>
      <family val="2"/>
    </font>
    <font>
      <b/>
      <sz val="11"/>
      <color theme="0"/>
      <name val="Calibri"/>
      <family val="2"/>
    </font>
    <font>
      <b/>
      <sz val="12"/>
      <color theme="1"/>
      <name val="Calibri"/>
      <family val="2"/>
      <charset val="204"/>
      <scheme val="minor"/>
    </font>
    <font>
      <b/>
      <sz val="9"/>
      <name val="Arial"/>
    </font>
    <font>
      <b/>
      <sz val="11"/>
      <name val="Calibri"/>
      <family val="2"/>
      <charset val="204"/>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theme="0" tint="-0.14999847407452621"/>
      </patternFill>
    </fill>
    <fill>
      <patternFill patternType="solid">
        <fgColor theme="0"/>
        <bgColor theme="0" tint="-0.14999847407452621"/>
      </patternFill>
    </fill>
    <fill>
      <patternFill patternType="solid">
        <fgColor theme="0"/>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medium">
        <color theme="1"/>
      </top>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43" fontId="1" fillId="0" borderId="0" applyFont="0" applyFill="0" applyBorder="0" applyAlignment="0" applyProtection="0"/>
  </cellStyleXfs>
  <cellXfs count="52">
    <xf numFmtId="0" fontId="0" fillId="0" borderId="0" xfId="0"/>
    <xf numFmtId="0" fontId="0" fillId="0" borderId="0" xfId="0" applyAlignment="1">
      <alignment horizontal="center" vertical="top"/>
    </xf>
    <xf numFmtId="49" fontId="0" fillId="0" borderId="0" xfId="0" applyNumberFormat="1"/>
    <xf numFmtId="49" fontId="0" fillId="0" borderId="0" xfId="0" applyNumberFormat="1" applyAlignment="1">
      <alignment horizontal="center" vertical="top"/>
    </xf>
    <xf numFmtId="49" fontId="0" fillId="0" borderId="0" xfId="0" applyNumberFormat="1" applyAlignment="1">
      <alignment horizontal="center" vertical="top" wrapText="1"/>
    </xf>
    <xf numFmtId="0" fontId="0" fillId="0" borderId="0" xfId="0" applyAlignment="1">
      <alignment horizontal="center" vertical="center"/>
    </xf>
    <xf numFmtId="0" fontId="0" fillId="0" borderId="0" xfId="0" applyAlignment="1">
      <alignment horizontal="center" vertical="top" wrapText="1"/>
    </xf>
    <xf numFmtId="0" fontId="0" fillId="0" borderId="0" xfId="0" applyAlignment="1">
      <alignment horizontal="left" vertical="center"/>
    </xf>
    <xf numFmtId="0" fontId="20" fillId="0" borderId="0" xfId="0" applyFont="1" applyAlignment="1">
      <alignment vertical="center" wrapText="1"/>
    </xf>
    <xf numFmtId="0" fontId="20" fillId="0" borderId="0" xfId="0" applyFont="1" applyAlignment="1">
      <alignment horizontal="left" vertical="center" indent="1"/>
    </xf>
    <xf numFmtId="49" fontId="20" fillId="0" borderId="0" xfId="0" applyNumberFormat="1" applyFont="1" applyAlignment="1">
      <alignment horizontal="left" vertical="center" indent="1"/>
    </xf>
    <xf numFmtId="49" fontId="20" fillId="0" borderId="0" xfId="0" applyNumberFormat="1" applyFont="1" applyAlignment="1">
      <alignment horizontal="center" vertical="center"/>
    </xf>
    <xf numFmtId="0" fontId="0" fillId="0" borderId="0" xfId="0" applyAlignment="1">
      <alignment horizontal="left" vertical="center" indent="1"/>
    </xf>
    <xf numFmtId="0" fontId="0" fillId="0" borderId="0" xfId="0" applyAlignment="1">
      <alignment horizontal="left" vertical="top" wrapText="1"/>
    </xf>
    <xf numFmtId="0" fontId="13" fillId="0" borderId="0" xfId="0" applyFont="1" applyAlignment="1">
      <alignment horizontal="center" vertical="top" wrapText="1"/>
    </xf>
    <xf numFmtId="0" fontId="21" fillId="0" borderId="0" xfId="0" applyFont="1" applyAlignment="1">
      <alignment horizontal="center" vertical="top" wrapText="1"/>
    </xf>
    <xf numFmtId="0" fontId="0" fillId="0" borderId="10" xfId="0" applyBorder="1" applyAlignment="1">
      <alignment horizontal="center" vertical="center"/>
    </xf>
    <xf numFmtId="49" fontId="0" fillId="0" borderId="11" xfId="0" applyNumberFormat="1" applyBorder="1" applyAlignment="1">
      <alignment wrapText="1"/>
    </xf>
    <xf numFmtId="0" fontId="0" fillId="0" borderId="0" xfId="0" applyAlignment="1">
      <alignment vertical="top" wrapText="1"/>
    </xf>
    <xf numFmtId="49" fontId="0" fillId="0" borderId="12" xfId="0" applyNumberFormat="1" applyBorder="1" applyAlignment="1">
      <alignment horizontal="left" vertical="top" wrapText="1"/>
    </xf>
    <xf numFmtId="0" fontId="0" fillId="0" borderId="0" xfId="0" applyAlignment="1">
      <alignment vertical="center" wrapText="1"/>
    </xf>
    <xf numFmtId="49" fontId="0" fillId="0" borderId="12" xfId="0" applyNumberFormat="1" applyBorder="1" applyAlignment="1">
      <alignment horizontal="left" vertical="center" indent="1"/>
    </xf>
    <xf numFmtId="0" fontId="20" fillId="0" borderId="0" xfId="0" applyFont="1" applyAlignment="1">
      <alignment vertical="top" wrapText="1"/>
    </xf>
    <xf numFmtId="0" fontId="0" fillId="0" borderId="0" xfId="0" applyAlignment="1">
      <alignment wrapText="1"/>
    </xf>
    <xf numFmtId="0" fontId="22" fillId="0" borderId="0" xfId="0" applyFont="1"/>
    <xf numFmtId="0" fontId="23" fillId="0" borderId="0" xfId="0" applyFont="1" applyAlignment="1">
      <alignment horizontal="right" vertical="top"/>
    </xf>
    <xf numFmtId="0" fontId="23" fillId="0" borderId="0" xfId="0" applyFont="1" applyAlignment="1">
      <alignment horizontal="right" vertical="center"/>
    </xf>
    <xf numFmtId="0" fontId="24" fillId="0" borderId="0" xfId="0" applyFont="1" applyAlignment="1">
      <alignment horizontal="right" vertical="center"/>
    </xf>
    <xf numFmtId="0" fontId="0" fillId="0" borderId="0" xfId="0" applyAlignment="1">
      <alignment vertical="center"/>
    </xf>
    <xf numFmtId="43" fontId="0" fillId="0" borderId="0" xfId="0" applyNumberFormat="1" applyAlignment="1">
      <alignment vertical="center"/>
    </xf>
    <xf numFmtId="164" fontId="0" fillId="0" borderId="0" xfId="0" applyNumberFormat="1" applyAlignment="1">
      <alignment vertical="center"/>
    </xf>
    <xf numFmtId="0" fontId="13" fillId="0" borderId="14" xfId="0" applyFont="1" applyBorder="1" applyAlignment="1">
      <alignment horizontal="center" vertical="top" wrapText="1"/>
    </xf>
    <xf numFmtId="0" fontId="0" fillId="33" borderId="13" xfId="0" applyFill="1" applyBorder="1" applyAlignment="1">
      <alignment horizontal="center" vertical="center" wrapText="1"/>
    </xf>
    <xf numFmtId="0" fontId="0" fillId="33" borderId="13" xfId="0" applyFill="1" applyBorder="1" applyAlignment="1">
      <alignment vertical="top" wrapText="1"/>
    </xf>
    <xf numFmtId="0" fontId="0" fillId="0" borderId="13" xfId="0" applyBorder="1" applyAlignment="1">
      <alignment horizontal="left" vertical="top" wrapText="1"/>
    </xf>
    <xf numFmtId="43" fontId="0" fillId="33" borderId="13" xfId="44" applyFont="1" applyFill="1" applyBorder="1" applyAlignment="1">
      <alignment vertical="center" wrapText="1"/>
    </xf>
    <xf numFmtId="0" fontId="0" fillId="33" borderId="13" xfId="0" applyFill="1" applyBorder="1" applyAlignment="1">
      <alignment horizontal="center" vertical="center"/>
    </xf>
    <xf numFmtId="0" fontId="0" fillId="0" borderId="13" xfId="0" applyBorder="1" applyAlignment="1">
      <alignment horizontal="center" vertical="center" wrapText="1"/>
    </xf>
    <xf numFmtId="0" fontId="0" fillId="0" borderId="13" xfId="0" applyBorder="1" applyAlignment="1">
      <alignment vertical="top" wrapText="1"/>
    </xf>
    <xf numFmtId="43" fontId="0" fillId="0" borderId="13" xfId="44" applyFont="1" applyBorder="1" applyAlignment="1">
      <alignment vertical="center" wrapText="1"/>
    </xf>
    <xf numFmtId="0" fontId="0" fillId="0" borderId="13" xfId="0" applyBorder="1" applyAlignment="1">
      <alignment horizontal="center" vertical="center"/>
    </xf>
    <xf numFmtId="0" fontId="0" fillId="34" borderId="13" xfId="0" applyFill="1" applyBorder="1" applyAlignment="1">
      <alignment horizontal="center" vertical="center" wrapText="1"/>
    </xf>
    <xf numFmtId="0" fontId="0" fillId="34" borderId="13" xfId="0" applyFill="1" applyBorder="1" applyAlignment="1">
      <alignment vertical="top" wrapText="1"/>
    </xf>
    <xf numFmtId="0" fontId="0" fillId="35" borderId="13" xfId="0" applyFill="1" applyBorder="1" applyAlignment="1">
      <alignment horizontal="left" vertical="top" wrapText="1"/>
    </xf>
    <xf numFmtId="43" fontId="0" fillId="34" borderId="13" xfId="44" applyFont="1" applyFill="1" applyBorder="1" applyAlignment="1">
      <alignment vertical="center" wrapText="1"/>
    </xf>
    <xf numFmtId="0" fontId="0" fillId="34" borderId="13" xfId="0" applyFill="1" applyBorder="1" applyAlignment="1">
      <alignment horizontal="center" vertical="center"/>
    </xf>
    <xf numFmtId="0" fontId="0" fillId="0" borderId="0" xfId="0" applyAlignment="1">
      <alignment horizontal="center" vertical="center" wrapText="1"/>
    </xf>
    <xf numFmtId="43" fontId="16" fillId="0" borderId="0" xfId="0" applyNumberFormat="1" applyFont="1" applyAlignment="1">
      <alignment wrapText="1"/>
    </xf>
    <xf numFmtId="43" fontId="0" fillId="0" borderId="0" xfId="0" applyNumberFormat="1"/>
    <xf numFmtId="43" fontId="24" fillId="0" borderId="0" xfId="0" applyNumberFormat="1" applyFont="1" applyAlignment="1">
      <alignment horizontal="right" vertical="center"/>
    </xf>
    <xf numFmtId="164" fontId="23" fillId="0" borderId="0" xfId="0" applyNumberFormat="1" applyFont="1" applyAlignment="1">
      <alignment horizontal="right" vertical="center"/>
    </xf>
    <xf numFmtId="4" fontId="23" fillId="0" borderId="0" xfId="0" applyNumberFormat="1" applyFont="1" applyAlignment="1">
      <alignment horizontal="right" vertical="top"/>
    </xf>
  </cellXfs>
  <cellStyles count="45">
    <cellStyle name="20% — акцент1" xfId="19" builtinId="30" customBuiltin="1"/>
    <cellStyle name="20% — акцент2" xfId="23" builtinId="34" customBuiltin="1"/>
    <cellStyle name="20% — акцент3" xfId="27" builtinId="38" customBuiltin="1"/>
    <cellStyle name="20% — акцент4" xfId="31" builtinId="42" customBuiltin="1"/>
    <cellStyle name="20% — акцент5" xfId="35" builtinId="46" customBuiltin="1"/>
    <cellStyle name="20% — акцент6" xfId="39" builtinId="50" customBuiltin="1"/>
    <cellStyle name="40% — акцент1" xfId="20" builtinId="31" customBuiltin="1"/>
    <cellStyle name="40% — акцент2" xfId="24" builtinId="35" customBuiltin="1"/>
    <cellStyle name="40% — акцент3" xfId="28" builtinId="39" customBuiltin="1"/>
    <cellStyle name="40% — акцент4" xfId="32" builtinId="43" customBuiltin="1"/>
    <cellStyle name="40% — акцент5" xfId="36" builtinId="47" customBuiltin="1"/>
    <cellStyle name="40% — акцент6" xfId="40" builtinId="51" customBuiltin="1"/>
    <cellStyle name="60% — акцент1" xfId="21" builtinId="32" customBuiltin="1"/>
    <cellStyle name="60% — акцент2" xfId="25" builtinId="36" customBuiltin="1"/>
    <cellStyle name="60% — акцент3" xfId="29" builtinId="40" customBuiltin="1"/>
    <cellStyle name="60% — акцент4" xfId="33" builtinId="44" customBuiltin="1"/>
    <cellStyle name="60% — акцент5" xfId="37" builtinId="48" customBuiltin="1"/>
    <cellStyle name="60% — акцент6" xfId="41" builtinId="52" customBuiltin="1"/>
    <cellStyle name="Hyperlink" xfId="42" xr:uid="{00000000-000B-0000-0000-000008000000}"/>
    <cellStyle name="Акцент1" xfId="18" builtinId="29" customBuiltin="1"/>
    <cellStyle name="Акцент2" xfId="22" builtinId="33" customBuiltin="1"/>
    <cellStyle name="Акцент3" xfId="26" builtinId="37" customBuiltin="1"/>
    <cellStyle name="Акцент4" xfId="30" builtinId="41" customBuiltin="1"/>
    <cellStyle name="Акцент5" xfId="34" builtinId="45" customBuiltin="1"/>
    <cellStyle name="Акцент6" xfId="38" builtinId="49" customBuiltin="1"/>
    <cellStyle name="Ввод" xfId="9" builtinId="20" customBuiltin="1"/>
    <cellStyle name="Вывод" xfId="10" builtinId="21" customBuiltin="1"/>
    <cellStyle name="Вычисление" xfId="11" builtinId="22" customBuiltin="1"/>
    <cellStyle name="Гиперссылка" xfId="43" builtinId="8" hidden="1"/>
    <cellStyle name="Заголовок 1" xfId="2" builtinId="16" customBuiltin="1"/>
    <cellStyle name="Заголовок 2" xfId="3" builtinId="17" customBuiltin="1"/>
    <cellStyle name="Заголовок 3" xfId="4" builtinId="18" customBuiltin="1"/>
    <cellStyle name="Заголовок 4" xfId="5" builtinId="19" customBuiltin="1"/>
    <cellStyle name="Итог" xfId="17" builtinId="25" customBuiltin="1"/>
    <cellStyle name="Контрольная ячейка" xfId="13" builtinId="23" customBuiltin="1"/>
    <cellStyle name="Название" xfId="1" builtinId="15" customBuiltin="1"/>
    <cellStyle name="Нейтральный" xfId="8" builtinId="28" customBuiltin="1"/>
    <cellStyle name="Обычный" xfId="0" builtinId="0"/>
    <cellStyle name="Плохой" xfId="7" builtinId="27" customBuiltin="1"/>
    <cellStyle name="Пояснение" xfId="16" builtinId="53" customBuiltin="1"/>
    <cellStyle name="Примечание" xfId="15" builtinId="10" customBuiltin="1"/>
    <cellStyle name="Связанная ячейка" xfId="12" builtinId="24" customBuiltin="1"/>
    <cellStyle name="Текст предупреждения" xfId="14" builtinId="11" customBuiltin="1"/>
    <cellStyle name="Финансовый" xfId="44" builtinId="3"/>
    <cellStyle name="Хороший" xfId="6" builtinId="26" customBuiltin="1"/>
  </cellStyles>
  <dxfs count="70">
    <dxf>
      <numFmt numFmtId="30" formatCode="@"/>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alignment horizontal="general" vertical="bottom" textRotation="0" wrapText="1" indent="0" justifyLastLine="0" shrinkToFit="0" readingOrder="0"/>
      <border diagonalUp="0" diagonalDown="0" outline="0">
        <left/>
        <right style="thin">
          <color indexed="64"/>
        </right>
        <top style="thin">
          <color indexed="64"/>
        </top>
        <bottom style="thin">
          <color indexed="64"/>
        </bottom>
      </border>
    </dxf>
    <dxf>
      <numFmt numFmtId="30" formatCode="@"/>
      <alignment horizontal="left" vertical="center" textRotation="0" wrapText="0" relativeIndent="1"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alignment horizontal="center" vertical="top" textRotation="0" wrapText="0" indent="0" justifyLastLine="0" shrinkToFit="0" readingOrder="0"/>
    </dxf>
    <dxf>
      <font>
        <b val="0"/>
        <i val="0"/>
        <strike val="0"/>
        <condense val="0"/>
        <extend val="0"/>
        <outline val="0"/>
        <shadow val="0"/>
        <u val="none"/>
        <vertAlign val="baseline"/>
        <sz val="11"/>
        <color theme="1"/>
        <name val="Calibri"/>
        <family val="2"/>
        <charset val="204"/>
        <scheme val="minor"/>
      </font>
      <fill>
        <patternFill patternType="none">
          <fgColor indexed="64"/>
          <bgColor auto="1"/>
        </patternFill>
      </fill>
      <alignment horizontal="left" vertical="top" textRotation="0" wrapText="1" indent="0" justifyLastLine="0" shrinkToFit="0" readingOrder="0"/>
    </dxf>
    <dxf>
      <font>
        <b val="0"/>
        <i val="0"/>
        <strike val="0"/>
        <condense val="0"/>
        <extend val="0"/>
        <outline val="0"/>
        <shadow val="0"/>
        <u val="none"/>
        <vertAlign val="baseline"/>
        <sz val="11"/>
        <color theme="1"/>
        <name val="Calibri"/>
        <family val="2"/>
        <charset val="204"/>
        <scheme val="minor"/>
      </font>
      <fill>
        <patternFill patternType="none">
          <fgColor indexed="64"/>
          <bgColor indexed="65"/>
        </patternFill>
      </fill>
      <alignment horizontal="general" vertical="bottom" textRotation="0" wrapText="1" indent="0" justifyLastLine="0" shrinkToFit="0" readingOrder="0"/>
      <border diagonalUp="0" diagonalDown="0" outline="0">
        <left style="hair">
          <color indexed="64"/>
        </left>
        <right style="dashed">
          <color indexed="64"/>
        </right>
        <top/>
        <bottom/>
      </border>
    </dxf>
    <dxf>
      <alignment horizontal="left" vertical="center" textRotation="0" wrapText="0" indent="1" justifyLastLine="0" shrinkToFit="0" readingOrder="0"/>
    </dxf>
    <dxf>
      <alignment horizontal="left" vertical="bottom" textRotation="0" wrapText="0" indent="1" justifyLastLine="0" shrinkToFit="0" readingOrder="0"/>
      <border diagonalUp="0" diagonalDown="0" outline="0">
        <left style="hair">
          <color indexed="64"/>
        </left>
        <right/>
        <top/>
        <bottom/>
      </border>
    </dxf>
    <dxf>
      <alignment horizontal="left" vertical="center" textRotation="0" wrapText="0" indent="1" justifyLastLine="0" shrinkToFit="0" readingOrder="0"/>
    </dxf>
    <dxf>
      <alignment horizontal="left" vertical="bottom" textRotation="0" wrapText="0" indent="1" justifyLastLine="0" shrinkToFit="0" readingOrder="0"/>
      <border diagonalUp="0" diagonalDown="0" outline="0">
        <left style="hair">
          <color indexed="64"/>
        </left>
        <right/>
        <top/>
        <bottom/>
      </border>
    </dxf>
    <dxf>
      <alignment horizontal="left" vertical="center" textRotation="0" wrapText="0" indent="1" justifyLastLine="0" shrinkToFit="0" readingOrder="0"/>
    </dxf>
    <dxf>
      <alignment horizontal="left" vertical="bottom" textRotation="0" wrapText="0" indent="1" justifyLastLine="0" shrinkToFit="0" readingOrder="0"/>
      <border diagonalUp="0" diagonalDown="0" outline="0">
        <left style="hair">
          <color indexed="64"/>
        </left>
        <right/>
        <top/>
        <bottom/>
      </border>
    </dxf>
    <dxf>
      <alignment horizontal="left" vertical="center" textRotation="0" wrapText="0" indent="1" justifyLastLine="0" shrinkToFit="0" readingOrder="0"/>
    </dxf>
    <dxf>
      <alignment horizontal="left" vertical="bottom" textRotation="0" wrapText="0" indent="1" justifyLastLine="0" shrinkToFit="0" readingOrder="0"/>
      <border diagonalUp="0" diagonalDown="0" outline="0">
        <left style="hair">
          <color indexed="64"/>
        </left>
        <right/>
        <top/>
        <bottom/>
      </border>
    </dxf>
    <dxf>
      <alignment horizontal="left" vertical="center" textRotation="0" wrapText="0" indent="1" justifyLastLine="0" shrinkToFit="0" readingOrder="0"/>
    </dxf>
    <dxf>
      <alignment horizontal="left" vertical="bottom" textRotation="0" wrapText="0" indent="1" justifyLastLine="0" shrinkToFit="0" readingOrder="0"/>
      <border diagonalUp="0" diagonalDown="0" outline="0">
        <left style="hair">
          <color indexed="64"/>
        </left>
        <right/>
        <top/>
        <bottom/>
      </border>
    </dxf>
    <dxf>
      <alignment horizontal="left" vertical="center" textRotation="0" wrapText="0" relativeIndent="1" justifyLastLine="0" shrinkToFit="0" readingOrder="0"/>
    </dxf>
    <dxf>
      <alignment horizontal="left" vertical="bottom" textRotation="0" wrapText="0" indent="1"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1"/>
        <color indexed="8"/>
        <name val="Calibri"/>
        <family val="2"/>
        <scheme val="none"/>
      </font>
      <numFmt numFmtId="30" formatCode="@"/>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center" vertical="center" textRotation="0" wrapText="0" indent="0" justifyLastLine="0" shrinkToFit="0" readingOrder="0"/>
      <border diagonalUp="0" diagonalDown="0" outline="0">
        <left style="hair">
          <color indexed="64"/>
        </left>
        <right style="hair">
          <color indexed="64"/>
        </right>
        <top/>
        <bottom/>
      </border>
      <protection locked="1" hidden="0"/>
    </dxf>
    <dxf>
      <font>
        <b val="0"/>
        <i val="0"/>
        <strike val="0"/>
        <condense val="0"/>
        <extend val="0"/>
        <outline val="0"/>
        <shadow val="0"/>
        <u val="none"/>
        <vertAlign val="baseline"/>
        <sz val="11"/>
        <color indexed="8"/>
        <name val="Calibri"/>
        <family val="2"/>
        <scheme val="none"/>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center" vertical="center" textRotation="0" wrapText="0" indent="0" justifyLastLine="0" shrinkToFit="0" readingOrder="0"/>
      <border diagonalUp="0" diagonalDown="0" outline="0">
        <left style="hair">
          <color indexed="64"/>
        </left>
        <right style="hair">
          <color indexed="64"/>
        </right>
        <top/>
        <bottom/>
      </border>
      <protection locked="1" hidden="0"/>
    </dxf>
    <dxf>
      <font>
        <b val="0"/>
        <i val="0"/>
        <strike val="0"/>
        <condense val="0"/>
        <extend val="0"/>
        <outline val="0"/>
        <shadow val="0"/>
        <u val="none"/>
        <vertAlign val="baseline"/>
        <sz val="11"/>
        <color indexed="8"/>
        <name val="Calibri"/>
        <family val="2"/>
        <scheme val="none"/>
      </font>
      <numFmt numFmtId="30" formatCode="@"/>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center" vertical="center" textRotation="0" wrapText="0" indent="0" justifyLastLine="0" shrinkToFit="0" readingOrder="0"/>
      <border diagonalUp="0" diagonalDown="0" outline="0">
        <left style="hair">
          <color indexed="64"/>
        </left>
        <right style="hair">
          <color indexed="64"/>
        </right>
        <top/>
        <bottom/>
      </border>
      <protection locked="1" hidden="0"/>
    </dxf>
    <dxf>
      <font>
        <b val="0"/>
        <i val="0"/>
        <strike val="0"/>
        <condense val="0"/>
        <extend val="0"/>
        <outline val="0"/>
        <shadow val="0"/>
        <u val="none"/>
        <vertAlign val="baseline"/>
        <sz val="11"/>
        <color indexed="8"/>
        <name val="Calibri"/>
        <family val="2"/>
        <scheme val="none"/>
      </font>
      <numFmt numFmtId="30" formatCode="@"/>
      <alignment horizontal="left" vertical="center" textRotation="0" wrapText="0" indent="1" justifyLastLine="0" shrinkToFit="0" readingOrder="0"/>
    </dxf>
    <dxf>
      <font>
        <b val="0"/>
        <i val="0"/>
        <strike val="0"/>
        <condense val="0"/>
        <extend val="0"/>
        <outline val="0"/>
        <shadow val="0"/>
        <u val="none"/>
        <vertAlign val="baseline"/>
        <sz val="11"/>
        <color indexed="8"/>
        <name val="Calibri"/>
        <family val="2"/>
        <scheme val="none"/>
      </font>
      <alignment horizontal="left" vertical="center" textRotation="0" wrapText="0" indent="1"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1"/>
        <color indexed="8"/>
        <name val="Calibri"/>
        <family val="2"/>
        <scheme val="none"/>
      </font>
      <numFmt numFmtId="30" formatCode="@"/>
      <fill>
        <patternFill patternType="none">
          <fgColor indexed="64"/>
          <bgColor indexed="65"/>
        </patternFill>
      </fill>
      <alignment horizontal="left" vertical="center" textRotation="0" wrapText="0" relativeIndent="1" justifyLastLine="0" shrinkToFit="0" readingOrder="0"/>
      <protection locked="1" hidden="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left" vertical="center" textRotation="0" wrapText="0" indent="1" justifyLastLine="0" shrinkToFit="0" readingOrder="0"/>
      <border diagonalUp="0" diagonalDown="0" outline="0">
        <left style="hair">
          <color indexed="64"/>
        </left>
        <right style="hair">
          <color indexed="64"/>
        </right>
        <top/>
        <bottom/>
      </border>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left" vertical="center" textRotation="0" wrapText="0" relativeIndent="1" justifyLastLine="0" shrinkToFit="0" readingOrder="0"/>
      <protection locked="1" hidden="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left" vertical="center" textRotation="0" wrapText="0" indent="1" justifyLastLine="0" shrinkToFit="0" readingOrder="0"/>
      <border diagonalUp="0" diagonalDown="0" outline="0">
        <left style="hair">
          <color indexed="64"/>
        </left>
        <right style="hair">
          <color indexed="64"/>
        </right>
        <top/>
        <bottom/>
      </border>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center" textRotation="0" wrapText="1" indent="0" justifyLastLine="0" shrinkToFit="0" readingOrder="0"/>
      <protection locked="1" hidden="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center" textRotation="0" wrapText="1" indent="0" justifyLastLine="0" shrinkToFit="0" readingOrder="0"/>
      <border diagonalUp="0" diagonalDown="0" outline="0">
        <left style="hair">
          <color indexed="64"/>
        </left>
        <right style="hair">
          <color indexed="64"/>
        </right>
        <top/>
        <bottom/>
      </border>
      <protection locked="1" hidden="0"/>
    </dxf>
    <dxf>
      <alignment horizontal="general" vertical="center" textRotation="0" wrapText="1" indent="0" justifyLastLine="0" shrinkToFit="0" readingOrder="0"/>
    </dxf>
    <dxf>
      <alignment horizontal="general" vertical="center" textRotation="0" wrapText="0"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1"/>
        <color theme="1"/>
        <name val="Calibri"/>
        <family val="2"/>
        <charset val="204"/>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charset val="204"/>
        <scheme val="minor"/>
      </font>
      <fill>
        <patternFill patternType="none">
          <fgColor indexed="64"/>
          <bgColor indexed="65"/>
        </patternFill>
      </fill>
      <alignment horizontal="center" vertical="center" textRotation="0" wrapText="0"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1"/>
        <color theme="1"/>
        <name val="Calibri"/>
        <family val="2"/>
        <charset val="204"/>
        <scheme val="minor"/>
      </fon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charset val="204"/>
        <scheme val="minor"/>
      </font>
      <fill>
        <patternFill patternType="none">
          <fgColor indexed="64"/>
          <bgColor indexed="65"/>
        </patternFill>
      </fill>
      <alignment horizontal="left" vertical="center" textRotation="0" wrapText="0" indent="0" justifyLastLine="0" shrinkToFit="0" readingOrder="0"/>
      <border diagonalUp="0" diagonalDown="0" outline="0">
        <left style="dashed">
          <color indexed="64"/>
        </left>
        <right style="hair">
          <color indexed="64"/>
        </right>
        <top/>
        <bottom/>
      </border>
    </dxf>
    <dxf>
      <border outline="0">
        <top style="medium">
          <color theme="1"/>
        </top>
        <bottom style="medium">
          <color theme="1"/>
        </bottom>
      </border>
    </dxf>
    <dxf>
      <fill>
        <patternFill patternType="none">
          <fgColor indexed="64"/>
          <bgColor auto="1"/>
        </patternFill>
      </fill>
    </dxf>
    <dxf>
      <fill>
        <patternFill patternType="none">
          <fgColor indexed="64"/>
          <bgColor auto="1"/>
        </patternFill>
      </fill>
      <alignment horizontal="center" vertical="top" textRotation="0" wrapText="1" indent="0" justifyLastLine="0" shrinkToFit="0" readingOrder="0"/>
    </dxf>
    <dxf>
      <fill>
        <patternFill>
          <bgColor rgb="FF92D050"/>
        </patternFill>
      </fill>
    </dxf>
    <dxf>
      <fill>
        <patternFill>
          <bgColor rgb="FF92D050"/>
        </patternFill>
      </fill>
    </dxf>
    <dxf>
      <fill>
        <patternFill>
          <bgColor rgb="FFF47B5E"/>
        </patternFill>
      </fill>
    </dxf>
    <dxf>
      <fill>
        <patternFill>
          <bgColor rgb="FFF5B487"/>
        </patternFill>
      </fill>
    </dxf>
    <dxf>
      <fill>
        <patternFill>
          <bgColor rgb="FFFFFF99"/>
        </patternFill>
      </fill>
    </dxf>
    <dxf>
      <fill>
        <patternFill>
          <bgColor rgb="FF84A2D8"/>
        </patternFill>
      </fill>
    </dxf>
    <dxf>
      <fill>
        <patternFill patternType="solid">
          <fgColor theme="0" tint="-0.14999847407452621"/>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5" formatCode="_-* #,##0.00_-;\-* #,##0.00_-;_-* &quot;-&quot;??_-;_-@_-"/>
    </dxf>
    <dxf>
      <fill>
        <patternFill patternType="solid">
          <fgColor theme="0" tint="-0.14999847407452621"/>
          <bgColor theme="0" tint="-0.1499984740745262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charset val="204"/>
        <scheme val="minor"/>
      </font>
      <numFmt numFmtId="35" formatCode="_-* #,##0.00_-;\-* #,##0.00_-;_-* &quot;-&quot;??_-;_-@_-"/>
      <alignment horizontal="general" vertical="bottom" textRotation="0" wrapText="1" indent="0" justifyLastLine="0" shrinkToFit="0" readingOrder="0"/>
    </dxf>
    <dxf>
      <fill>
        <patternFill patternType="solid">
          <fgColor theme="0" tint="-0.14999847407452621"/>
          <bgColor theme="0" tint="-0.1499984740745262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charset val="204"/>
        <scheme val="minor"/>
      </font>
      <numFmt numFmtId="35" formatCode="_-* #,##0.00_-;\-* #,##0.00_-;_-* &quot;-&quot;??_-;_-@_-"/>
      <alignment horizontal="general" vertical="bottom" textRotation="0" wrapText="1" indent="0" justifyLastLine="0" shrinkToFit="0" readingOrder="0"/>
    </dxf>
    <dxf>
      <fill>
        <patternFill patternType="solid">
          <fgColor theme="0" tint="-0.14999847407452621"/>
          <bgColor theme="0" tint="-0.1499984740745262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dxf>
    <dxf>
      <fill>
        <patternFill patternType="solid">
          <fgColor theme="0" tint="-0.14999847407452621"/>
          <bgColor theme="0" tint="-0.1499984740745262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top" textRotation="0" wrapText="1" indent="0" justifyLastLine="0" shrinkToFit="0" readingOrder="0"/>
    </dxf>
    <dxf>
      <numFmt numFmtId="0" formatCode="General"/>
      <fill>
        <patternFill patternType="solid">
          <fgColor theme="0" tint="-0.14999847407452621"/>
          <bgColor theme="0" tint="-0.1499984740745262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dxf>
    <dxf>
      <numFmt numFmtId="0" formatCode="Genera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fill>
        <patternFill patternType="solid">
          <fgColor theme="0" tint="-0.14999847407452621"/>
          <bgColor theme="0" tint="-0.14999847407452621"/>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dxf>
    <dxf>
      <numFmt numFmtId="0" formatCode="General"/>
      <fill>
        <patternFill patternType="solid">
          <fgColor theme="0" tint="-0.14999847407452621"/>
          <bgColor theme="0" tint="-0.1499984740745262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top" textRotation="0" wrapText="1" indent="0" justifyLastLine="0" shrinkToFit="0" readingOrder="0"/>
    </dxf>
    <dxf>
      <alignment horizontal="general" vertical="bottom" textRotation="0" wrapText="1" indent="0" justifyLastLine="0" shrinkToFit="0" readingOrder="0"/>
    </dxf>
    <dxf>
      <fill>
        <patternFill patternType="none">
          <fgColor indexed="64"/>
          <bgColor auto="1"/>
        </patternFill>
      </fill>
      <alignment horizontal="center" vertical="top" textRotation="0" wrapText="1" indent="0" justifyLastLine="0" shrinkToFit="0" readingOrder="0"/>
    </dxf>
    <dxf>
      <fill>
        <patternFill>
          <bgColor theme="4" tint="0.79995117038483843"/>
        </patternFill>
      </fill>
    </dxf>
    <dxf>
      <fill>
        <patternFill patternType="solid">
          <fgColor theme="4" tint="0.79995117038483843"/>
          <bgColor theme="4" tint="0.79995117038483843"/>
        </patternFill>
      </fill>
      <border>
        <top/>
      </border>
    </dxf>
    <dxf>
      <fill>
        <patternFill patternType="solid">
          <fgColor theme="4" tint="0.79995117038483843"/>
          <bgColor theme="4" tint="0.79995117038483843"/>
        </patternFill>
      </fill>
      <border>
        <bottom/>
      </border>
    </dxf>
  </dxfs>
  <tableStyles count="1" defaultTableStyle="TableStyleMedium20" defaultPivotStyle="PivotStyleLight16">
    <tableStyle name="Плоский стиль сводного представления" table="0" count="3" xr9:uid="{7E7469EB-6512-448A-9E72-F2B72DA20E69}">
      <tableStyleElement type="headerRow" dxfId="69"/>
      <tableStyleElement type="totalRow" dxfId="68"/>
      <tableStyleElement type="secondRowStripe" dxfId="67"/>
    </tableStyle>
  </tableStyles>
  <colors>
    <mruColors>
      <color rgb="FFC9A6E4"/>
      <color rgb="FFF5B487"/>
      <color rgb="FFF47B5E"/>
      <color rgb="FFF25F3C"/>
      <color rgb="FFF1E8F8"/>
      <color rgb="FFE4D2F2"/>
      <color rgb="FFF8D8E5"/>
      <color rgb="FF84A2D8"/>
      <color rgb="FFFFFF99"/>
      <color rgb="FFEF863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ustomXml" Target="../customXml/item4.xml"/><Relationship Id="rId18" Type="http://schemas.openxmlformats.org/officeDocument/2006/relationships/customXml" Target="../customXml/item9.xml"/><Relationship Id="rId26" Type="http://schemas.openxmlformats.org/officeDocument/2006/relationships/customXml" Target="../customXml/item17.xml"/><Relationship Id="rId3" Type="http://schemas.openxmlformats.org/officeDocument/2006/relationships/worksheet" Target="worksheets/sheet3.xml"/><Relationship Id="rId21" Type="http://schemas.openxmlformats.org/officeDocument/2006/relationships/customXml" Target="../customXml/item12.xml"/><Relationship Id="rId34" Type="http://schemas.openxmlformats.org/officeDocument/2006/relationships/customXml" Target="../customXml/item25.xml"/><Relationship Id="rId7" Type="http://schemas.openxmlformats.org/officeDocument/2006/relationships/sharedStrings" Target="sharedStrings.xml"/><Relationship Id="rId12" Type="http://schemas.openxmlformats.org/officeDocument/2006/relationships/customXml" Target="../customXml/item3.xml"/><Relationship Id="rId17" Type="http://schemas.openxmlformats.org/officeDocument/2006/relationships/customXml" Target="../customXml/item8.xml"/><Relationship Id="rId25" Type="http://schemas.openxmlformats.org/officeDocument/2006/relationships/customXml" Target="../customXml/item16.xml"/><Relationship Id="rId33" Type="http://schemas.openxmlformats.org/officeDocument/2006/relationships/customXml" Target="../customXml/item24.xml"/><Relationship Id="rId2" Type="http://schemas.openxmlformats.org/officeDocument/2006/relationships/worksheet" Target="worksheets/sheet2.xml"/><Relationship Id="rId16" Type="http://schemas.openxmlformats.org/officeDocument/2006/relationships/customXml" Target="../customXml/item7.xml"/><Relationship Id="rId20" Type="http://schemas.openxmlformats.org/officeDocument/2006/relationships/customXml" Target="../customXml/item11.xml"/><Relationship Id="rId29"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24" Type="http://schemas.openxmlformats.org/officeDocument/2006/relationships/customXml" Target="../customXml/item15.xml"/><Relationship Id="rId32" Type="http://schemas.openxmlformats.org/officeDocument/2006/relationships/customXml" Target="../customXml/item23.xml"/><Relationship Id="rId5" Type="http://schemas.openxmlformats.org/officeDocument/2006/relationships/connections" Target="connections.xml"/><Relationship Id="rId15" Type="http://schemas.openxmlformats.org/officeDocument/2006/relationships/customXml" Target="../customXml/item6.xml"/><Relationship Id="rId23" Type="http://schemas.openxmlformats.org/officeDocument/2006/relationships/customXml" Target="../customXml/item14.xml"/><Relationship Id="rId28" Type="http://schemas.openxmlformats.org/officeDocument/2006/relationships/customXml" Target="../customXml/item19.xml"/><Relationship Id="rId10" Type="http://schemas.openxmlformats.org/officeDocument/2006/relationships/customXml" Target="../customXml/item1.xml"/><Relationship Id="rId19" Type="http://schemas.openxmlformats.org/officeDocument/2006/relationships/customXml" Target="../customXml/item10.xml"/><Relationship Id="rId31" Type="http://schemas.openxmlformats.org/officeDocument/2006/relationships/customXml" Target="../customXml/item22.xml"/><Relationship Id="rId4" Type="http://schemas.openxmlformats.org/officeDocument/2006/relationships/theme" Target="theme/theme1.xml"/><Relationship Id="rId9" Type="http://schemas.openxmlformats.org/officeDocument/2006/relationships/calcChain" Target="calcChain.xml"/><Relationship Id="rId14" Type="http://schemas.openxmlformats.org/officeDocument/2006/relationships/customXml" Target="../customXml/item5.xml"/><Relationship Id="rId22" Type="http://schemas.openxmlformats.org/officeDocument/2006/relationships/customXml" Target="../customXml/item13.xml"/><Relationship Id="rId27" Type="http://schemas.openxmlformats.org/officeDocument/2006/relationships/customXml" Target="../customXml/item18.xml"/><Relationship Id="rId30" Type="http://schemas.openxmlformats.org/officeDocument/2006/relationships/customXml" Target="../customXml/item21.xml"/><Relationship Id="rId8"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Иван Кукушкин" id="{546BDB3A-668A-4D8C-87A8-0DE14755FBE5}" userId="3a809852355ebf2e" providerId="Windows Live"/>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54" xr16:uid="{1F3CD3FB-6A4A-41DF-AB23-C155C39E466C}" autoFormatId="16" applyNumberFormats="0" applyBorderFormats="0" applyFontFormats="0" applyPatternFormats="0" applyAlignmentFormats="0" applyWidthHeightFormats="0">
  <queryTableRefresh nextId="13">
    <queryTableFields count="9">
      <queryTableField id="1" name="№" tableColumnId="1"/>
      <queryTableField id="2" name="НАИМЕНОВАНИЕ" tableColumnId="2"/>
      <queryTableField id="11" name="ОПИСАНИЕ И ХАРАКТЕРИСТИКИ" tableColumnId="9"/>
      <queryTableField id="3" name="ЕД ИЗМ." tableColumnId="3"/>
      <queryTableField id="4" name="КОЛ-ВО" tableColumnId="4"/>
      <queryTableField id="5" name="ЦЕНА БЕЗ НДС, руб" tableColumnId="5"/>
      <queryTableField id="6" name="СТОИМОСТЬ БЕЗ НДС, руб" tableColumnId="6"/>
      <queryTableField id="7" name="НДС, руб" tableColumnId="7"/>
      <queryTableField id="10" name="ДЛИТЕЛЬНОСТЬ РЕАЛИЗАЦИИ, дней" tableColumnId="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D43E309-0E8D-4534-8845-B4A45424A8C6}" name="TabSpecificationToCustomerFin" displayName="TabSpecificationToCustomerFin" ref="A1:I10" tableType="queryTable" totalsRowCount="1" headerRowDxfId="66" dataDxfId="65">
  <autoFilter ref="A1:I9" xr:uid="{9D43E309-0E8D-4534-8845-B4A45424A8C6}"/>
  <tableColumns count="9">
    <tableColumn id="1" xr3:uid="{095AA111-FA63-4964-B584-2C7AB6E17D7A}" uniqueName="1" name="№" totalsRowLabel="Итог" queryTableFieldId="1" dataDxfId="63" totalsRowDxfId="64"/>
    <tableColumn id="2" xr3:uid="{06F08F19-7BAC-4BE3-8B82-8421D1DCDAE4}" uniqueName="2" name="НАИМЕНОВАНИЕ" queryTableFieldId="2" dataDxfId="61" totalsRowDxfId="62"/>
    <tableColumn id="9" xr3:uid="{3CF37B2E-8A4E-4634-83C6-D9D009BAE074}" uniqueName="9" name="ОПИСАНИЕ И ХАРАКТЕРИСТИКИ" queryTableFieldId="11" dataDxfId="60" dataCellStyle="Финансовый"/>
    <tableColumn id="3" xr3:uid="{3F0BCDB7-61A1-42A5-8138-012623067E45}" uniqueName="3" name="ЕД ИЗМ." queryTableFieldId="3" dataDxfId="58" totalsRowDxfId="59"/>
    <tableColumn id="4" xr3:uid="{6F49E9F3-06A2-43BE-9CBB-B828B84C5DED}" uniqueName="4" name="КОЛ-ВО" queryTableFieldId="4" dataDxfId="56" totalsRowDxfId="57"/>
    <tableColumn id="5" xr3:uid="{BE55F7E9-C360-4782-80F9-4767C181C700}" uniqueName="5" name="ЦЕНА БЕЗ НДС, руб" queryTableFieldId="5" dataDxfId="54" totalsRowDxfId="55" dataCellStyle="Финансовый"/>
    <tableColumn id="6" xr3:uid="{08593672-8724-4A0B-9408-4FCD3C8C0F64}" uniqueName="6" name="СТОИМОСТЬ БЕЗ НДС, руб" totalsRowFunction="sum" queryTableFieldId="6" dataDxfId="52" totalsRowDxfId="53" dataCellStyle="Финансовый"/>
    <tableColumn id="7" xr3:uid="{9433931A-B46B-48B4-A72C-EA39A2738F6C}" uniqueName="7" name="НДС, руб" totalsRowFunction="sum" queryTableFieldId="7" dataDxfId="50" totalsRowDxfId="51" dataCellStyle="Финансовый"/>
    <tableColumn id="8" xr3:uid="{409B1175-A88B-48B4-9328-1ADB522AEDE5}" uniqueName="8" name="ДЛИТЕЛЬНОСТЬ РЕАЛИЗАЦИИ, дней" queryTableFieldId="10" dataDxfId="48" totalsRowDxfId="49" dataCellStyle="Финансовый"/>
  </tableColumns>
  <tableStyleInfo name="TableStyleMedium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59773E5-6BB4-4A7F-A27E-2BF5D48F2E04}" name="TabTableSchema" displayName="TabTableSchema" ref="A1:Q9" headerRowDxfId="41" dataDxfId="40" tableBorderDxfId="39">
  <autoFilter ref="A1:Q9" xr:uid="{759773E5-6BB4-4A7F-A27E-2BF5D48F2E04}"/>
  <tableColumns count="17">
    <tableColumn id="1" xr3:uid="{E6BB4E5D-0C94-42D4-8C3E-4A911A823492}" name="TABLE NAME" totalsRowLabel="Итог" dataDxfId="37" totalsRowDxfId="38"/>
    <tableColumn id="9" xr3:uid="{8E76A267-9A59-489D-8043-2804945CE301}" name="NUM COLUMN" totalsRowFunction="count" dataDxfId="35" totalsRowDxfId="36"/>
    <tableColumn id="2" xr3:uid="{BEB7F216-285D-4701-BA72-477EC26D3B62}" name="СOLUMNS NAME" dataDxfId="33" totalsRowDxfId="34"/>
    <tableColumn id="4" xr3:uid="{A7B1D50C-5D59-4B32-A7C3-9AA74B7404D4}" name="COLUMN NAME RUS" dataDxfId="31" totalsRowDxfId="32"/>
    <tableColumn id="6" xr3:uid="{1416325B-2E3B-4C34-BB33-AAB8A31EF82D}" name="TYPE DATASET" dataDxfId="29" totalsRowDxfId="30"/>
    <tableColumn id="5" xr3:uid="{CA8100E0-9D72-4767-B0B8-4AD4DE71B1E3}" name="RANGE VALUES" dataDxfId="27" totalsRowDxfId="28"/>
    <tableColumn id="13" xr3:uid="{3A92C78A-FF7E-4E7E-8419-C0B9B7A58E47}" name="UNIQUE FLAG" dataDxfId="25" totalsRowDxfId="26"/>
    <tableColumn id="8" xr3:uid="{2396727F-9D04-4743-BB44-C8C0E33C757B}" name="NULL VALUE" dataDxfId="23" totalsRowDxfId="24"/>
    <tableColumn id="12" xr3:uid="{C4725C6D-3039-490B-BB41-A5171ECFACD8}" name="isAUTOMATIC" dataDxfId="21" totalsRowDxfId="22"/>
    <tableColumn id="7" xr3:uid="{40580CDE-6E19-4C7A-9755-F526449CFCB9}" name="MODIFY FLAG" dataDxfId="19" totalsRowDxfId="20"/>
    <tableColumn id="10" xr3:uid="{CB15A236-A81C-4BD2-9F8C-B1E9D304D57D}" name="HANDBOOK SOURCE" dataDxfId="17" totalsRowDxfId="18"/>
    <tableColumn id="15" xr3:uid="{FEB2FEB8-B9A8-4D97-89C7-C11A7ECC74BF}" name="DROPDOWN LIST" dataDxfId="15" totalsRowDxfId="16"/>
    <tableColumn id="14" xr3:uid="{39517DFD-8E84-4512-AD3B-8EEF3F2A14BD}" name="EXCEL TYPE" dataDxfId="13" totalsRowDxfId="14"/>
    <tableColumn id="16" xr3:uid="{4AF43F77-9EB9-4FE8-A6CD-1C506E0C165A}" name="VERTICAL ALIGNMENT" totalsRowFunction="count" dataDxfId="11" totalsRowDxfId="12"/>
    <tableColumn id="17" xr3:uid="{F3337072-6BBA-4D07-99C5-D8BE0F50993F}" name="HORIZONTAL ALIGNMENT" dataDxfId="9" totalsRowDxfId="10"/>
    <tableColumn id="18" xr3:uid="{D292290F-9084-4A4E-B39B-7270E72B4D63}" name="TRANSFER TEXT" dataDxfId="7" totalsRowDxfId="8"/>
    <tableColumn id="3" xr3:uid="{99264B45-CF4D-4029-A10F-DE7DEC72AEAA}" name="COMMENT" totalsRowFunction="count" dataDxfId="5" totalsRowDxfId="6"/>
  </tableColumns>
  <tableStyleInfo name="TableStyleMedium2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15A7DFF-0CC5-4C4C-9A2B-B1F378111DBF}" name="TabConfigJSON" displayName="TabConfigJSON" ref="A1:D2" totalsRowShown="0" headerRowDxfId="4">
  <autoFilter ref="A1:D2" xr:uid="{F15A7DFF-0CC5-4C4C-9A2B-B1F378111DBF}"/>
  <tableColumns count="4">
    <tableColumn id="1" xr3:uid="{EADDD526-A1BB-49E7-8C12-FF9F560ED170}" name="IDnum" dataDxfId="3"/>
    <tableColumn id="4" xr3:uid="{98DCC295-85E8-47DA-AFBD-C60F8D2289C3}" name="IDconfig" dataDxfId="2"/>
    <tableColumn id="2" xr3:uid="{DA12A670-2981-4AD6-9AD6-55CE1D69B953}" name="CONFIG_JSON" dataDxfId="1"/>
    <tableColumn id="3" xr3:uid="{A974DE38-498A-4F17-8A6B-82651D251480}" name="COMMENT" dataDxfId="0"/>
  </tableColumns>
  <tableStyleInfo name="TableStyleMedium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1" dT="2026-09-08T14:16:19.41" personId="{546BDB3A-668A-4D8C-87A8-0DE14755FBE5}" id="{E72C4575-B903-42C0-BF0C-095553A1C54C}">
    <text>Нумерация в соответствии с нумерацией столбцов Excel</text>
  </threadedComment>
  <threadedComment ref="C1" dT="2025-08-26T18:36:16.30" personId="{546BDB3A-668A-4D8C-87A8-0DE14755FBE5}" id="{467C0B6F-9F95-4DB0-BF80-F675DE91455F}">
    <text>Рабочее наименование столбца</text>
  </threadedComment>
  <threadedComment ref="D1" dT="2025-08-26T18:39:10.84" personId="{546BDB3A-668A-4D8C-87A8-0DE14755FBE5}" id="{4CFBF6B6-7EFD-4069-8DE5-8B3A382DE8B5}">
    <text>Технологический столбец. Здесь содержится рекомендуемое наименование на русском языке в случае когда требуется конвертировать таблицу и результирующей таблице должны быть русскоязычные наименования</text>
  </threadedComment>
  <threadedComment ref="E1" dT="2025-08-26T18:40:10.72" personId="{546BDB3A-668A-4D8C-87A8-0DE14755FBE5}" id="{F53B5208-810B-4812-85B6-273910B12FA2}">
    <text>Тип данных столбца, который необходимо задать вконфигурации JSON. Данный параметр отработает при валидации таблицы</text>
  </threadedComment>
  <threadedComment ref="F1" dT="2025-08-26T14:23:18.65" personId="{546BDB3A-668A-4D8C-87A8-0DE14755FBE5}" id="{402736B6-8AA9-44F1-87AF-DCFCB998D9A2}">
    <text xml:space="preserve">Диапазон допустимых значений
</text>
  </threadedComment>
  <threadedComment ref="G1" dT="2025-08-26T18:35:52.66" personId="{546BDB3A-668A-4D8C-87A8-0DE14755FBE5}" id="{73665B3F-01E8-4647-B7CF-D2ADCE5DFF7A}">
    <text>Признак того что столбец должен хранить только уникальные значения</text>
  </threadedComment>
  <threadedComment ref="H1" dT="2025-08-26T13:33:29.24" personId="{546BDB3A-668A-4D8C-87A8-0DE14755FBE5}" id="{BF2E705E-F92F-4135-963A-1D08D1A86B10}">
    <text>Признак допустимости ‘null’ (т.е. пустых) значения в данном столбце</text>
  </threadedComment>
  <threadedComment ref="I1" dT="2025-09-11T18:35:40.60" personId="{546BDB3A-668A-4D8C-87A8-0DE14755FBE5}" id="{BA3FC78D-DF56-4299-98BA-EF543AEDDE96}">
    <text>Автоматически заполняемый столбец. Пользователь не должен руками вносить значения</text>
  </threadedComment>
  <threadedComment ref="J1" dT="2025-08-26T18:51:01.94" personId="{546BDB3A-668A-4D8C-87A8-0DE14755FBE5}" id="{C4590EF0-B4FA-4AF9-B9E3-97C4D5D4FB74}">
    <text>Флаг ‘’разрешает’’ в соответствии с бизнес процессами ручную/автоматизированную корректировку значений хранящихся в данном столбце определяемыми специфичными условиями проекта или взаимоотношений с заказчиком</text>
  </threadedComment>
  <threadedComment ref="K1" dT="2025-08-26T18:55:29.91" personId="{546BDB3A-668A-4D8C-87A8-0DE14755FBE5}" id="{1B29FCF3-2C93-496F-9F2F-E1BE3F0529EE}">
    <text>Значение не равное ‘none’ показывает что значения столбца обязаны заполняться из HandBbook (т.е. из справочной таблицы). В таком случае необходимо указать название справочной таблицы к которой привязан столбец. 
Важно: указывается не локальный Handbook 2-го типа а именно таблица- первоисточник данных</text>
  </threadedComment>
  <threadedComment ref="L1" dT="2026-09-08T15:06:04.09" personId="{546BDB3A-668A-4D8C-87A8-0DE14755FBE5}" id="{2C9CD6CD-74E9-4E5F-9945-3215BE6F4F59}">
    <text>Признак выбора значений из выпадающего списка</text>
  </threadedComment>
  <threadedComment ref="M1" dT="2025-08-30T19:10:47.02" personId="{546BDB3A-668A-4D8C-87A8-0DE14755FBE5}" id="{38ECDC56-C1B3-4279-9135-C2F194AF05C2}">
    <text xml:space="preserve">Тип данных который необходимо задать в Excel при первом создании каркаса таблицы. Необходимо соблюдать правило при котором типы заданные в JSON конфигурации и в Excel - совпадают по возможностям
</text>
  </threadedComment>
  <threadedComment ref="P1" dT="2025-10-14T16:26:08.02" personId="{546BDB3A-668A-4D8C-87A8-0DE14755FBE5}" id="{0E01910B-EABC-47EE-A6F2-36B241839F32}">
    <text>Включить перенос текста</text>
  </threadedComment>
  <threadedComment ref="Q1" dT="2025-08-26T21:21:32.93" personId="{546BDB3A-668A-4D8C-87A8-0DE14755FBE5}" id="{2542A1D5-C697-4EB9-ADE5-2F46F073681A}">
    <text xml:space="preserve">Комментарий поясняющий смысл хранимых в столбце данных, также ряд ограничений связанных с ним и ряд другой информации. </text>
  </threadedComment>
</ThreadedComments>
</file>

<file path=xl/threadedComments/threadedComment2.xml><?xml version="1.0" encoding="utf-8"?>
<ThreadedComments xmlns="http://schemas.microsoft.com/office/spreadsheetml/2018/threadedcomments" xmlns:x="http://schemas.openxmlformats.org/spreadsheetml/2006/main">
  <threadedComment ref="A1" dT="2025-08-18T09:05:32.10" personId="{546BDB3A-668A-4D8C-87A8-0DE14755FBE5}" id="{677E766F-DCD2-40C5-BCF6-694B76559E7B}">
    <text>Столбец хранит уникальный, для данной таблицы в данной Excel книге, целочисленные идентификаторы. Данный идентификатор не является основообразующим для работы BI скриптов, в качестве таковых выступают значения ключевого для данной таблицы столбца - 'IDconfig'. Тем не менее к столбцу предъявляются типовые требования целочисленных ID столбцов - значения должны быть целочисленным, начинаться строго с '1' и не иметь разрывов и перескоков в цепочке значений.</text>
  </threadedComment>
  <threadedComment ref="B1" dT="2025-08-18T09:01:09.84" personId="{546BDB3A-668A-4D8C-87A8-0DE14755FBE5}" id="{9097B5E4-5BB8-495D-920F-57E4FE5CA3D9}">
    <text>Столбец хранит уникальные, для данной таблицы в данной Excel книге, текстовые идентификаторы. По данному идентификатору внешний Power Query скрипт будет находить  требуемый конфигурационный JSON объект в столбце ‘CONFIG_JSON’ и обрабатывать таблицу в соответствии с ним. В качестве значений могут выступать любые текстовые фразы, в том числе состоящие из нескольких слов но не имеющие в своем составе пробелов, также необходимо соблюдать язык символов - только латиница.</text>
  </threadedComment>
  <threadedComment ref="C1" dT="2025-08-18T09:23:09.20" personId="{546BDB3A-668A-4D8C-87A8-0DE14755FBE5}" id="{EAFE6082-86D5-4614-8F32-BA64CCE0A820}">
    <text>Столбец хранит набор конфигурационных объектов, строго в формате JSON, в которых на языке 'HorizonBI' описано:
'ЧТО/КАК/В КАКОМ ОБЪЕМЕ' необходимо обработать объект Excel книги.</text>
  </threadedComment>
  <threadedComment ref="D1" dT="2025-08-18T09:10:04.85" personId="{546BDB3A-668A-4D8C-87A8-0DE14755FBE5}" id="{324BD8BD-4E4A-4D8A-8018-FCE55CC73CF0}">
    <text>Комментарий определяющий назначение конфигурационного JSON объекта.</text>
  </threadedComment>
</ThreadedComment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3.xml"/><Relationship Id="rId1" Type="http://schemas.openxmlformats.org/officeDocument/2006/relationships/vmlDrawing" Target="../drawings/vmlDrawing2.vml"/><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41243-70D1-49D0-A2D0-83374A70A6CC}">
  <dimension ref="A1:V17"/>
  <sheetViews>
    <sheetView tabSelected="1" zoomScaleNormal="100" workbookViewId="0">
      <pane ySplit="1" topLeftCell="F9" activePane="bottomLeft" state="frozen"/>
      <selection pane="bottomLeft" activeCell="I21" sqref="I21"/>
    </sheetView>
  </sheetViews>
  <sheetFormatPr defaultRowHeight="14.45"/>
  <cols>
    <col min="1" max="1" width="7.5703125" bestFit="1" customWidth="1"/>
    <col min="2" max="2" width="30.7109375" style="23" customWidth="1"/>
    <col min="3" max="3" width="50.7109375" customWidth="1"/>
    <col min="4" max="4" width="10.7109375" customWidth="1"/>
    <col min="5" max="5" width="10.7109375" style="28" customWidth="1"/>
    <col min="6" max="7" width="15.7109375" style="28" customWidth="1"/>
    <col min="8" max="8" width="15.85546875" style="28" customWidth="1"/>
    <col min="9" max="9" width="20.7109375" style="28" customWidth="1"/>
    <col min="10" max="10" width="22.140625" customWidth="1"/>
  </cols>
  <sheetData>
    <row r="1" spans="1:22" ht="33" customHeight="1">
      <c r="A1" s="31" t="s">
        <v>0</v>
      </c>
      <c r="B1" s="31" t="s">
        <v>1</v>
      </c>
      <c r="C1" s="1" t="s">
        <v>2</v>
      </c>
      <c r="D1" s="31" t="s">
        <v>3</v>
      </c>
      <c r="E1" s="31" t="s">
        <v>4</v>
      </c>
      <c r="F1" s="31" t="s">
        <v>5</v>
      </c>
      <c r="G1" s="31" t="s">
        <v>6</v>
      </c>
      <c r="H1" s="31" t="s">
        <v>7</v>
      </c>
      <c r="I1" s="31" t="s">
        <v>8</v>
      </c>
    </row>
    <row r="2" spans="1:22" ht="196.15" customHeight="1">
      <c r="A2" s="32" t="s">
        <v>9</v>
      </c>
      <c r="B2" s="33" t="s">
        <v>10</v>
      </c>
      <c r="C2" s="34" t="s">
        <v>11</v>
      </c>
      <c r="D2" s="32" t="s">
        <v>12</v>
      </c>
      <c r="E2" s="32">
        <v>1</v>
      </c>
      <c r="F2" s="35">
        <v>351000</v>
      </c>
      <c r="G2" s="35">
        <v>351000</v>
      </c>
      <c r="H2" s="35">
        <v>77220</v>
      </c>
      <c r="I2" s="36">
        <v>25</v>
      </c>
    </row>
    <row r="3" spans="1:22" ht="244.9">
      <c r="A3" s="37" t="s">
        <v>13</v>
      </c>
      <c r="B3" s="38" t="s">
        <v>14</v>
      </c>
      <c r="C3" s="34" t="s">
        <v>15</v>
      </c>
      <c r="D3" s="37" t="s">
        <v>12</v>
      </c>
      <c r="E3" s="37">
        <v>1</v>
      </c>
      <c r="F3" s="39">
        <v>62500</v>
      </c>
      <c r="G3" s="39">
        <v>62500</v>
      </c>
      <c r="H3" s="39">
        <v>13750</v>
      </c>
      <c r="I3" s="40">
        <v>10</v>
      </c>
    </row>
    <row r="4" spans="1:22" ht="273.60000000000002">
      <c r="A4" s="32" t="s">
        <v>16</v>
      </c>
      <c r="B4" s="33" t="s">
        <v>17</v>
      </c>
      <c r="C4" s="34" t="s">
        <v>18</v>
      </c>
      <c r="D4" s="32" t="s">
        <v>12</v>
      </c>
      <c r="E4" s="32">
        <v>1</v>
      </c>
      <c r="F4" s="35">
        <v>326600</v>
      </c>
      <c r="G4" s="35">
        <v>326600</v>
      </c>
      <c r="H4" s="35">
        <v>71852</v>
      </c>
      <c r="I4" s="36">
        <v>20</v>
      </c>
    </row>
    <row r="5" spans="1:22" ht="172.9">
      <c r="A5" s="37" t="s">
        <v>19</v>
      </c>
      <c r="B5" s="38" t="s">
        <v>20</v>
      </c>
      <c r="C5" s="34" t="s">
        <v>21</v>
      </c>
      <c r="D5" s="37" t="s">
        <v>12</v>
      </c>
      <c r="E5" s="37">
        <v>1</v>
      </c>
      <c r="F5" s="39">
        <v>350000</v>
      </c>
      <c r="G5" s="39">
        <v>350000</v>
      </c>
      <c r="H5" s="39">
        <v>77000</v>
      </c>
      <c r="I5" s="40">
        <v>25</v>
      </c>
    </row>
    <row r="6" spans="1:22" ht="201.6">
      <c r="A6" s="32" t="s">
        <v>22</v>
      </c>
      <c r="B6" s="33" t="s">
        <v>23</v>
      </c>
      <c r="C6" s="34" t="s">
        <v>24</v>
      </c>
      <c r="D6" s="32" t="s">
        <v>12</v>
      </c>
      <c r="E6" s="32">
        <v>1</v>
      </c>
      <c r="F6" s="35">
        <v>300000</v>
      </c>
      <c r="G6" s="35">
        <v>300000</v>
      </c>
      <c r="H6" s="35">
        <v>66000</v>
      </c>
      <c r="I6" s="36">
        <v>15</v>
      </c>
    </row>
    <row r="7" spans="1:22" ht="172.9">
      <c r="A7" s="37" t="s">
        <v>25</v>
      </c>
      <c r="B7" s="38" t="s">
        <v>26</v>
      </c>
      <c r="C7" s="34" t="s">
        <v>27</v>
      </c>
      <c r="D7" s="37" t="s">
        <v>12</v>
      </c>
      <c r="E7" s="37">
        <v>1</v>
      </c>
      <c r="F7" s="39">
        <v>280000</v>
      </c>
      <c r="G7" s="39">
        <v>280000</v>
      </c>
      <c r="H7" s="39">
        <v>61600</v>
      </c>
      <c r="I7" s="40">
        <v>15</v>
      </c>
    </row>
    <row r="8" spans="1:22" ht="244.9">
      <c r="A8" s="32" t="s">
        <v>28</v>
      </c>
      <c r="B8" s="33" t="s">
        <v>29</v>
      </c>
      <c r="C8" s="34" t="s">
        <v>30</v>
      </c>
      <c r="D8" s="32" t="s">
        <v>12</v>
      </c>
      <c r="E8" s="32">
        <v>1</v>
      </c>
      <c r="F8" s="35">
        <v>62500</v>
      </c>
      <c r="G8" s="35">
        <v>62500</v>
      </c>
      <c r="H8" s="35">
        <v>13750</v>
      </c>
      <c r="I8" s="36">
        <v>12</v>
      </c>
    </row>
    <row r="9" spans="1:22" ht="172.9">
      <c r="A9" s="41" t="s">
        <v>31</v>
      </c>
      <c r="B9" s="42" t="s">
        <v>32</v>
      </c>
      <c r="C9" s="43" t="s">
        <v>33</v>
      </c>
      <c r="D9" s="41" t="s">
        <v>12</v>
      </c>
      <c r="E9" s="41">
        <v>1</v>
      </c>
      <c r="F9" s="44">
        <v>75000</v>
      </c>
      <c r="G9" s="44">
        <v>75000</v>
      </c>
      <c r="H9" s="44">
        <v>16500</v>
      </c>
      <c r="I9" s="45">
        <v>12</v>
      </c>
    </row>
    <row r="10" spans="1:22">
      <c r="A10" s="6" t="s">
        <v>34</v>
      </c>
      <c r="D10" s="46"/>
      <c r="E10" s="6"/>
      <c r="F10" s="23"/>
      <c r="G10" s="47">
        <f>SUBTOTAL(109,TabSpecificationToCustomerFin[СТОИМОСТЬ БЕЗ НДС, руб])</f>
        <v>1807600</v>
      </c>
      <c r="H10" s="47">
        <f>SUBTOTAL(109,TabSpecificationToCustomerFin[НДС, руб])</f>
        <v>397672</v>
      </c>
      <c r="I10" s="48"/>
    </row>
    <row r="11" spans="1:22">
      <c r="J11" s="25"/>
      <c r="K11" s="25"/>
      <c r="L11" s="25"/>
      <c r="M11" s="25"/>
      <c r="Q11" s="51"/>
      <c r="R11" s="51"/>
      <c r="S11" s="51"/>
      <c r="T11" s="51"/>
      <c r="U11" s="51"/>
      <c r="V11" s="51"/>
    </row>
    <row r="12" spans="1:22">
      <c r="E12" s="26"/>
      <c r="F12" s="27"/>
      <c r="G12" s="49"/>
      <c r="H12" s="26"/>
      <c r="I12" s="50"/>
      <c r="J12" s="25"/>
      <c r="K12" s="25"/>
      <c r="L12" s="25"/>
      <c r="M12" s="25"/>
      <c r="Q12" s="51"/>
      <c r="R12" s="51"/>
      <c r="S12" s="51"/>
      <c r="T12" s="51"/>
      <c r="U12" s="51"/>
      <c r="V12" s="51"/>
    </row>
    <row r="13" spans="1:22" ht="15.6">
      <c r="C13" s="24"/>
      <c r="E13" s="26"/>
      <c r="F13" s="27"/>
      <c r="G13" s="27"/>
      <c r="H13" s="26"/>
      <c r="I13" s="50"/>
      <c r="J13" s="25"/>
      <c r="K13" s="25"/>
      <c r="L13" s="25"/>
      <c r="M13" s="25"/>
      <c r="Q13" s="51"/>
      <c r="R13" s="51"/>
      <c r="S13" s="51"/>
      <c r="T13" s="51"/>
      <c r="U13" s="51"/>
      <c r="V13" s="51"/>
    </row>
    <row r="14" spans="1:22">
      <c r="E14" s="26"/>
      <c r="F14" s="27"/>
      <c r="G14" s="27"/>
      <c r="H14" s="26"/>
      <c r="I14" s="26"/>
    </row>
    <row r="16" spans="1:22">
      <c r="F16" s="29"/>
    </row>
    <row r="17" spans="6:6">
      <c r="F17" s="30"/>
    </row>
  </sheetData>
  <sheetProtection formatCells="0" formatColumns="0" formatRows="0" sort="0" autoFilter="0" pivotTables="0"/>
  <mergeCells count="3">
    <mergeCell ref="Q11:V11"/>
    <mergeCell ref="Q12:V12"/>
    <mergeCell ref="Q13:V13"/>
  </mergeCells>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7C9C5-CAE7-40B0-8139-8DBC763BCC00}">
  <dimension ref="A1:Q9"/>
  <sheetViews>
    <sheetView zoomScaleNormal="100" workbookViewId="0">
      <pane ySplit="1" topLeftCell="A2" activePane="bottomLeft" state="frozen"/>
      <selection pane="bottomLeft" activeCell="D10" sqref="D10"/>
    </sheetView>
  </sheetViews>
  <sheetFormatPr defaultRowHeight="14.45" outlineLevelCol="1"/>
  <cols>
    <col min="1" max="1" width="29.7109375" bestFit="1" customWidth="1"/>
    <col min="2" max="2" width="11.28515625" customWidth="1"/>
    <col min="3" max="3" width="23.28515625" customWidth="1"/>
    <col min="4" max="4" width="30.85546875" customWidth="1"/>
    <col min="5" max="5" width="10.7109375" customWidth="1" outlineLevel="1"/>
    <col min="6" max="6" width="19.140625" customWidth="1" outlineLevel="1"/>
    <col min="7" max="7" width="12.28515625" customWidth="1" outlineLevel="1"/>
    <col min="8" max="8" width="11.28515625" customWidth="1" outlineLevel="1"/>
    <col min="9" max="9" width="14.28515625" customWidth="1" outlineLevel="1"/>
    <col min="10" max="10" width="11.140625" customWidth="1" outlineLevel="1"/>
    <col min="11" max="11" width="21" customWidth="1" outlineLevel="1"/>
    <col min="12" max="12" width="13.28515625" customWidth="1" outlineLevel="1"/>
    <col min="13" max="16" width="12.7109375" customWidth="1" outlineLevel="1"/>
    <col min="17" max="17" width="56.140625" customWidth="1"/>
  </cols>
  <sheetData>
    <row r="1" spans="1:17" ht="42.6" customHeight="1">
      <c r="A1" s="14" t="s">
        <v>35</v>
      </c>
      <c r="B1" s="14" t="s">
        <v>36</v>
      </c>
      <c r="C1" s="15" t="s">
        <v>37</v>
      </c>
      <c r="D1" s="15" t="s">
        <v>38</v>
      </c>
      <c r="E1" s="15" t="s">
        <v>39</v>
      </c>
      <c r="F1" s="6" t="s">
        <v>40</v>
      </c>
      <c r="G1" s="6" t="s">
        <v>41</v>
      </c>
      <c r="H1" s="6" t="s">
        <v>42</v>
      </c>
      <c r="I1" s="6" t="s">
        <v>43</v>
      </c>
      <c r="J1" s="6" t="s">
        <v>44</v>
      </c>
      <c r="K1" s="4" t="s">
        <v>45</v>
      </c>
      <c r="L1" s="4" t="s">
        <v>46</v>
      </c>
      <c r="M1" s="4" t="s">
        <v>47</v>
      </c>
      <c r="N1" s="4" t="s">
        <v>48</v>
      </c>
      <c r="O1" s="4" t="s">
        <v>49</v>
      </c>
      <c r="P1" s="4" t="s">
        <v>50</v>
      </c>
      <c r="Q1" s="14" t="s">
        <v>51</v>
      </c>
    </row>
    <row r="2" spans="1:17" ht="28.9">
      <c r="A2" s="7" t="s">
        <v>52</v>
      </c>
      <c r="B2" s="5">
        <v>1</v>
      </c>
      <c r="C2" s="20" t="s">
        <v>53</v>
      </c>
      <c r="D2" s="8" t="s">
        <v>0</v>
      </c>
      <c r="E2" s="9" t="s">
        <v>54</v>
      </c>
      <c r="F2" s="10" t="s">
        <v>55</v>
      </c>
      <c r="G2" s="10" t="s">
        <v>56</v>
      </c>
      <c r="H2" s="11" t="s">
        <v>57</v>
      </c>
      <c r="I2" s="11" t="s">
        <v>56</v>
      </c>
      <c r="J2" s="11" t="s">
        <v>57</v>
      </c>
      <c r="K2" s="12" t="s">
        <v>58</v>
      </c>
      <c r="L2" s="12" t="s">
        <v>57</v>
      </c>
      <c r="M2" s="12" t="s">
        <v>59</v>
      </c>
      <c r="N2" s="12" t="s">
        <v>60</v>
      </c>
      <c r="O2" s="12" t="s">
        <v>60</v>
      </c>
      <c r="P2" s="12" t="s">
        <v>57</v>
      </c>
      <c r="Q2" s="13" t="s">
        <v>61</v>
      </c>
    </row>
    <row r="3" spans="1:17">
      <c r="A3" s="7" t="s">
        <v>52</v>
      </c>
      <c r="B3" s="5">
        <v>2</v>
      </c>
      <c r="C3" s="20" t="s">
        <v>62</v>
      </c>
      <c r="D3" s="8" t="s">
        <v>1</v>
      </c>
      <c r="E3" s="9" t="s">
        <v>54</v>
      </c>
      <c r="F3" s="10" t="s">
        <v>63</v>
      </c>
      <c r="G3" s="10" t="s">
        <v>56</v>
      </c>
      <c r="H3" s="11" t="s">
        <v>57</v>
      </c>
      <c r="I3" s="11" t="s">
        <v>56</v>
      </c>
      <c r="J3" s="11" t="s">
        <v>57</v>
      </c>
      <c r="K3" s="12" t="s">
        <v>58</v>
      </c>
      <c r="L3" s="12" t="s">
        <v>57</v>
      </c>
      <c r="M3" s="12" t="s">
        <v>64</v>
      </c>
      <c r="N3" s="12" t="s">
        <v>65</v>
      </c>
      <c r="O3" s="12" t="s">
        <v>66</v>
      </c>
      <c r="P3" s="12" t="s">
        <v>56</v>
      </c>
      <c r="Q3" s="13" t="s">
        <v>67</v>
      </c>
    </row>
    <row r="4" spans="1:17">
      <c r="A4" s="7" t="s">
        <v>52</v>
      </c>
      <c r="B4" s="5">
        <v>3</v>
      </c>
      <c r="C4" s="20" t="s">
        <v>68</v>
      </c>
      <c r="D4" s="8" t="s">
        <v>69</v>
      </c>
      <c r="E4" s="9" t="s">
        <v>54</v>
      </c>
      <c r="F4" s="10" t="s">
        <v>70</v>
      </c>
      <c r="G4" s="10" t="s">
        <v>57</v>
      </c>
      <c r="H4" s="11" t="s">
        <v>57</v>
      </c>
      <c r="I4" s="11" t="s">
        <v>56</v>
      </c>
      <c r="J4" s="11" t="s">
        <v>57</v>
      </c>
      <c r="K4" s="12" t="s">
        <v>58</v>
      </c>
      <c r="L4" s="12" t="s">
        <v>56</v>
      </c>
      <c r="M4" s="12" t="s">
        <v>64</v>
      </c>
      <c r="N4" s="12" t="s">
        <v>60</v>
      </c>
      <c r="O4" s="12" t="s">
        <v>60</v>
      </c>
      <c r="P4" s="12" t="s">
        <v>57</v>
      </c>
      <c r="Q4" s="13" t="s">
        <v>71</v>
      </c>
    </row>
    <row r="5" spans="1:17">
      <c r="A5" s="7" t="s">
        <v>52</v>
      </c>
      <c r="B5" s="5">
        <v>4</v>
      </c>
      <c r="C5" s="20" t="s">
        <v>72</v>
      </c>
      <c r="D5" s="8" t="s">
        <v>73</v>
      </c>
      <c r="E5" s="9" t="s">
        <v>74</v>
      </c>
      <c r="F5" s="10" t="s">
        <v>75</v>
      </c>
      <c r="G5" s="10" t="s">
        <v>57</v>
      </c>
      <c r="H5" s="11" t="s">
        <v>57</v>
      </c>
      <c r="I5" s="11" t="s">
        <v>56</v>
      </c>
      <c r="J5" s="11" t="s">
        <v>57</v>
      </c>
      <c r="K5" s="12" t="s">
        <v>58</v>
      </c>
      <c r="L5" s="12" t="s">
        <v>57</v>
      </c>
      <c r="M5" s="12" t="s">
        <v>76</v>
      </c>
      <c r="N5" s="12" t="s">
        <v>60</v>
      </c>
      <c r="O5" s="12" t="s">
        <v>60</v>
      </c>
      <c r="P5" s="12" t="s">
        <v>57</v>
      </c>
      <c r="Q5" s="13" t="s">
        <v>77</v>
      </c>
    </row>
    <row r="6" spans="1:17">
      <c r="A6" s="7" t="s">
        <v>52</v>
      </c>
      <c r="B6" s="5">
        <v>5</v>
      </c>
      <c r="C6" s="18" t="s">
        <v>78</v>
      </c>
      <c r="D6" s="22" t="s">
        <v>5</v>
      </c>
      <c r="E6" s="9" t="s">
        <v>79</v>
      </c>
      <c r="F6" s="10" t="s">
        <v>80</v>
      </c>
      <c r="G6" s="10" t="s">
        <v>57</v>
      </c>
      <c r="H6" s="11" t="s">
        <v>57</v>
      </c>
      <c r="I6" s="11" t="s">
        <v>56</v>
      </c>
      <c r="J6" s="11" t="s">
        <v>57</v>
      </c>
      <c r="K6" s="12" t="s">
        <v>58</v>
      </c>
      <c r="L6" s="12" t="s">
        <v>57</v>
      </c>
      <c r="M6" s="12" t="s">
        <v>76</v>
      </c>
      <c r="N6" s="12" t="s">
        <v>81</v>
      </c>
      <c r="O6" s="12" t="s">
        <v>82</v>
      </c>
      <c r="P6" s="12" t="s">
        <v>57</v>
      </c>
      <c r="Q6" s="13" t="s">
        <v>83</v>
      </c>
    </row>
    <row r="7" spans="1:17">
      <c r="A7" s="7" t="s">
        <v>52</v>
      </c>
      <c r="B7" s="5">
        <v>6</v>
      </c>
      <c r="C7" s="18" t="s">
        <v>84</v>
      </c>
      <c r="D7" s="22" t="s">
        <v>6</v>
      </c>
      <c r="E7" s="9" t="s">
        <v>79</v>
      </c>
      <c r="F7" s="10" t="s">
        <v>85</v>
      </c>
      <c r="G7" s="10" t="s">
        <v>57</v>
      </c>
      <c r="H7" s="11" t="s">
        <v>57</v>
      </c>
      <c r="I7" s="11" t="s">
        <v>56</v>
      </c>
      <c r="J7" s="11" t="s">
        <v>57</v>
      </c>
      <c r="K7" s="12" t="s">
        <v>58</v>
      </c>
      <c r="L7" s="12" t="s">
        <v>57</v>
      </c>
      <c r="M7" s="12" t="s">
        <v>76</v>
      </c>
      <c r="N7" s="12" t="s">
        <v>81</v>
      </c>
      <c r="O7" s="12" t="s">
        <v>82</v>
      </c>
      <c r="P7" s="12" t="s">
        <v>57</v>
      </c>
      <c r="Q7" s="13" t="s">
        <v>86</v>
      </c>
    </row>
    <row r="8" spans="1:17">
      <c r="A8" s="7" t="s">
        <v>52</v>
      </c>
      <c r="B8" s="5">
        <v>7</v>
      </c>
      <c r="C8" s="18" t="s">
        <v>87</v>
      </c>
      <c r="D8" s="22" t="s">
        <v>7</v>
      </c>
      <c r="E8" s="9" t="s">
        <v>79</v>
      </c>
      <c r="F8" s="10" t="s">
        <v>80</v>
      </c>
      <c r="G8" s="10" t="s">
        <v>57</v>
      </c>
      <c r="H8" s="11" t="s">
        <v>57</v>
      </c>
      <c r="I8" s="11" t="s">
        <v>56</v>
      </c>
      <c r="J8" s="11" t="s">
        <v>57</v>
      </c>
      <c r="K8" s="12" t="s">
        <v>58</v>
      </c>
      <c r="L8" s="12" t="s">
        <v>57</v>
      </c>
      <c r="M8" s="12" t="s">
        <v>76</v>
      </c>
      <c r="N8" s="12" t="s">
        <v>81</v>
      </c>
      <c r="O8" s="12" t="s">
        <v>82</v>
      </c>
      <c r="P8" s="12" t="s">
        <v>57</v>
      </c>
      <c r="Q8" s="13" t="s">
        <v>88</v>
      </c>
    </row>
    <row r="9" spans="1:17" ht="28.9">
      <c r="A9" s="7" t="s">
        <v>52</v>
      </c>
      <c r="B9" s="5">
        <v>8</v>
      </c>
      <c r="C9" s="18" t="s">
        <v>89</v>
      </c>
      <c r="D9" s="22" t="s">
        <v>90</v>
      </c>
      <c r="E9" s="9" t="s">
        <v>74</v>
      </c>
      <c r="F9" s="10" t="s">
        <v>91</v>
      </c>
      <c r="G9" s="10" t="s">
        <v>57</v>
      </c>
      <c r="H9" s="11" t="s">
        <v>57</v>
      </c>
      <c r="I9" s="11" t="s">
        <v>56</v>
      </c>
      <c r="J9" s="11" t="s">
        <v>57</v>
      </c>
      <c r="K9" s="12" t="s">
        <v>58</v>
      </c>
      <c r="L9" s="12" t="s">
        <v>57</v>
      </c>
      <c r="M9" s="12" t="s">
        <v>76</v>
      </c>
      <c r="N9" s="12" t="s">
        <v>60</v>
      </c>
      <c r="O9" s="12" t="s">
        <v>82</v>
      </c>
      <c r="P9" s="12" t="s">
        <v>57</v>
      </c>
      <c r="Q9" s="13" t="s">
        <v>92</v>
      </c>
    </row>
  </sheetData>
  <sheetProtection algorithmName="SHA-512" hashValue="7bIW9INsyisVUQtc8PIk8gmrrEGBAevarUHbtU3u8pZ7xwsfiImf5YcK0SHh7cOzaHfAS4bCZYxrzLDO4DTyZQ==" saltValue="7zZ7IaIWYSfA2Iv3/fHBhQ==" spinCount="100000" sheet="1" objects="1" scenarios="1"/>
  <phoneticPr fontId="19" type="noConversion"/>
  <conditionalFormatting sqref="G2:G9">
    <cfRule type="expression" dxfId="47" priority="5">
      <formula>IF($G2="true",1,0)</formula>
    </cfRule>
  </conditionalFormatting>
  <conditionalFormatting sqref="H2:H9">
    <cfRule type="expression" dxfId="46" priority="7">
      <formula>IF($H2="true",1,0)</formula>
    </cfRule>
  </conditionalFormatting>
  <conditionalFormatting sqref="I2:I9">
    <cfRule type="cellIs" dxfId="45" priority="2" operator="equal">
      <formula>"true"</formula>
    </cfRule>
  </conditionalFormatting>
  <conditionalFormatting sqref="J2:J9">
    <cfRule type="expression" dxfId="44" priority="6">
      <formula>IF($J2="true",1,0)</formula>
    </cfRule>
  </conditionalFormatting>
  <conditionalFormatting sqref="K2:K9">
    <cfRule type="expression" dxfId="43" priority="4">
      <formula>IF($K2&lt;&gt;"none",1,0)</formula>
    </cfRule>
  </conditionalFormatting>
  <conditionalFormatting sqref="L2:L9">
    <cfRule type="expression" dxfId="42" priority="3">
      <formula>IF($L2="true",1,0)</formula>
    </cfRule>
  </conditionalFormatting>
  <dataValidations count="6">
    <dataValidation type="list" allowBlank="1" showInputMessage="1" showErrorMessage="1" sqref="O2:O9" xr:uid="{B4E8464F-798E-4996-B186-9C5B74FDE85A}">
      <formula1>"left,center,right,"</formula1>
    </dataValidation>
    <dataValidation type="list" showInputMessage="1" showErrorMessage="1" sqref="N2:N9" xr:uid="{D390489B-D2EC-4169-BF55-4C0809B0690B}">
      <formula1>"up,center,down,"</formula1>
    </dataValidation>
    <dataValidation type="list" showInputMessage="1" showErrorMessage="1" sqref="E2:E9" xr:uid="{92C8B38C-AE75-485D-BA39-38E679C69393}">
      <formula1>"text,int,float,bool,"</formula1>
    </dataValidation>
    <dataValidation type="list" showInputMessage="1" showErrorMessage="1" sqref="G2:J9 L2:L9" xr:uid="{DBEE043F-7460-4994-BFBF-9ADEB36E8C6E}">
      <formula1>"false,true,"</formula1>
    </dataValidation>
    <dataValidation type="list" allowBlank="1" showInputMessage="1" showErrorMessage="1" sqref="P2:P9" xr:uid="{70C4688D-8356-4AE9-8CF4-88699F7CA265}">
      <formula1>"false,true,"</formula1>
    </dataValidation>
    <dataValidation type="list" showInputMessage="1" showErrorMessage="1" sqref="M2:M9" xr:uid="{50BB42E0-455E-464F-9584-035F3278DBCA}">
      <formula1>"Числовой,Текстовый,Общий,"</formula1>
    </dataValidation>
  </dataValidations>
  <pageMargins left="0.7" right="0.7" top="0.75" bottom="0.75" header="0.3" footer="0.3"/>
  <pageSetup orientation="portrait"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22225-7B83-4341-B62F-97AE3F910C72}">
  <dimension ref="A1:D2"/>
  <sheetViews>
    <sheetView zoomScaleNormal="100" workbookViewId="0">
      <pane ySplit="1" topLeftCell="A2" activePane="bottomLeft" state="frozen"/>
      <selection pane="bottomLeft" activeCell="C2" sqref="C2"/>
    </sheetView>
  </sheetViews>
  <sheetFormatPr defaultRowHeight="14.45"/>
  <cols>
    <col min="1" max="1" width="10.42578125" customWidth="1"/>
    <col min="2" max="2" width="36.5703125" style="2" customWidth="1"/>
    <col min="3" max="3" width="88.140625" customWidth="1"/>
    <col min="4" max="4" width="59.5703125" customWidth="1"/>
  </cols>
  <sheetData>
    <row r="1" spans="1:4">
      <c r="A1" s="1" t="s">
        <v>93</v>
      </c>
      <c r="B1" s="1" t="s">
        <v>94</v>
      </c>
      <c r="C1" s="3" t="s">
        <v>95</v>
      </c>
      <c r="D1" s="4" t="s">
        <v>51</v>
      </c>
    </row>
    <row r="2" spans="1:4" ht="226.9" customHeight="1">
      <c r="A2" s="16">
        <v>1</v>
      </c>
      <c r="B2" s="21" t="s">
        <v>96</v>
      </c>
      <c r="C2" s="17" t="s">
        <v>97</v>
      </c>
      <c r="D2" s="19" t="s">
        <v>98</v>
      </c>
    </row>
  </sheetData>
  <phoneticPr fontId="19" type="noConversion"/>
  <pageMargins left="0.7" right="0.7" top="0.75" bottom="0.75" header="0.3" footer="0.3"/>
  <legacy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��!C<<0 ?> AB>;1FC!C<<0 ?> AB>;1FC$>@<C;0!C<<0 ?> AB>;1FC=0G5=85!C<<0 ?> AB>;1FC!C<<0 ?> AB>;1FC$>@<C;0!C<<0 ?> AB>;1FC=0G5=85!C<<0 ?> AB>;1FC!C<<0 ?> AB>;1FC$>@<C;0!C<<0 ?> AB>;1FC=0G5=85!C<<0 ?> AB>;1FC!C<<0 ?> AB>;1FC$>@<C;0!C<<0 ?> AB>;1FC=0G5=85!C<<0 ?> AB>;1FC!C<<0 ?> AB>;1FC$>@<C;0!C<<0 ?> AB>;1FC=0G5=85!C<<0 ?> AB>;1FC!C<<0 ?> AB>;1FC$>@<C;0!C<<0 ?> AB>;1FC=0G5=850:A8<C< 2 AB>;1F50:A8<C< 2 AB>;1F5$>@<C;00:A8<C< 2 AB>;1F5=0G5=85!C<<0 ?> AB>;1FC!C<<0 ?> AB>;1FC!C<<0 ?> AB>;1FC!C<<0 ?> AB>;1FC!C<<0 ?> AB>;1FC!C<<0 ?> AB>;1FC!C<<0 ?> AB>;1FC!C<<0 ?> AB>;1FC!C<<0 ?> AB>;1FC!C<<0 ?> AB>;1FC!C<<0 ?> AB>;1FC!C<<0 ?> AB>;1FC!C<<0 ?> AB>;1FC!C<<0 ?> AB>;1FC!C<<0 ?> AB>;1FC!C<<0 ?> AB>;1FC!C<<0 ?> AB>;1FC!C<<0 ?> AB>;1FC0:A8<C< 2 AB>;1F50:A8<C< 2 AB>;1F50:A8<C< 2 AB>;1F5!C<<0 ?> AB>;1FC!C<<0 ?> AB>;1FC$>@<C;0!C<<0 ?> AB>;1FC=0G5=85!C<<0 ?> AB>;1FC!C<<0 ?> AB>;1FC$>@<C;0!C<<0 ?> AB>;1FC=0G5=85!C<<0 ?> AB>;1FC!C<<0 ?> AB>;1FC$>@<C;0!C<<0 ?> AB>;1FC=0G5=85!C<<0 ?> AB>;1FC!C<<0 ?> AB>;1FC$>@<C;0!C<<0 ?> AB>;1FC=0G5=85!C<<0 ?> AB>;1FC!C<<0 ?> AB>;1FC$>@<C;0!C<<0 ?> AB>;1FC=0G5=85!C<<0 ?> AB>;1FC!C<<0 ?> AB>;1FC$>@<C;0!C<<0 ?> AB>;1FC=0G5=850:A8<C< 2 AB>;1F50:A8<C< 2 AB>;1F5$>@<C;00:A8<C< 2 AB>;1F5=0G5=85!C<<0 ?> AB>;1FC!C<<0 ?> AB>;1FC!C<<0 ?> AB>;1FC!C<<0 ?> AB>;1FC!C<<0 ?> AB>;1FC!C<<0 ?> AB>;1FC!C<<0 ?> AB>;1FC!C<<0 ?> AB>;1FC!C<<0 ?> AB>;1FC!C<<0 ?> AB>;1FC!C<<0 ?> AB>;1FC!C<<0 ?> AB>;1FC!C<<0 ?> AB>;1FC!C<<0 ?> AB>;1FC!C<<0 ?> AB>;1FC!C<<0 ?> AB>;1FC!C<<0 ?> AB>;1FC!C<<0 ?> AB>;1FC0:A8<C< 2 AB>;1F50:A8<C< 2 AB>;1F50:A8<C< 2 AB>;1F5!C<<0 ?> AB>;1FC!C<<0 ?> AB>;1FC$>@<C;0!C<<0 ?> AB>;1FC=0G5=85!C<<0 ?> AB>;1FC!C<<0 ?> AB>;1FC$>@<C;0!C<<0 ?> AB>;1FC=0G5=85!C<<0 ?> AB>;1FC!C<<0 ?> AB>;1FC$>@<C;0!C<<0 ?> AB>;1FC=0G5=85'8A;> M;5<5=B>2 2 AB>;1F5'8A;> M;5<5=B>2 2 AB>;1F5$>@<C;0'8A;> M;5<5=B>2 2 AB>;1F5=0G5=85!C<<0 ?> AB>;1FC!C<<0 ?> AB>;1FC$>@<C;0!C<<0 ?> AB>;1FC=0G5=850:A8<C< 2 AB>;1F50:A8<C< 2 AB>;1F5$>@<C;00:A8<C< 2 AB>;1F5=0G5=85!C<<0 ?> AB>;1FC!C<<0 ?> AB>;1FC$>@<C;0!C<<0 ?> AB>;1FC=0G5=850:A8<C< 2 AB>;1F50:A8<C< 2 AB>;1F5$>@<C;00:A8<C< 2 AB>;1F5=0G5=850:A8<C< 2 AB>;1F50:A8<C< 2 AB>;1F5$>@<C;00:A8<C< 2 AB>;1F5=0G5=85'8A;> M;5<5=B>2 2 AB>;1F5'8A;> M;5<5=B>2 2 AB>;1F5$>@<C;0'8A;> M;5<5=B>2 2 AB>;1F5=0G5=85!C<<0 ?> AB>;1FC!C<<0 ?> AB>;1FC!C<<0 ?> AB>;1FC!C<<0 ?> AB>;1FC!C<<0 ?> AB>;1FC!C<<0 ?> AB>;1FC!C<<0 ?> AB>;1FC!C<<0 ?> AB>;1FC!C<<0 ?> AB>;1FC'8A;> M;5<5=B>2 2 AB>;1F5'8A;> M;5<5=B>2 2 AB>;1F5'8A;> M;5<5=B>2 2 AB>;1F5!C<<0 ?> AB>;1FC!C<<0 ?> AB>;1FC!C<<0 ?> AB>;1FC0:A8<C< 2 AB>;1F50:A8<C< 2 AB>;1F50:A8<C< 2 AB>;1F5!C<<0 ?> AB>;1FC!C<<0 ?> AB>;1FC!C<<0 ?> AB>;1FC0:A8<C< 2 AB>;1F50:A8<C< 2 AB>;1F50:A8<C< 2 AB>;1F50:A8<C< 2 AB>;1F50:A8<C< 2 AB>;1F50:A8<C< 2 AB>;1F5'8A;> M;5<5=B>2 2 AB>;1F5'8A;> M;5<5=B>2 2 AB>;1F5'8A;> M;5<5=B>2 2 AB>;1F5!C<<0 ?> AB>;1FC!C<<0 ?> AB>;1FC$>@<C;0!C<<0 ?> AB>;1FC=0G5=85!C<<0 ?> AB>;1FC!C<<0 ?> AB>;1FC$>@<C;0!C<<0 ?> AB>;1FC=0G5=85!C<<0 ?> AB>;1FC!C<<0 ?> AB>;1FC$>@<C;0!C<<0 ?> AB>;1FC=0G5=85'8A;> M;5<5=B>2 2 AB>;1F5'8A;> M;5<5=B>2 2 AB>;1F5$>@<C;0'8A;> M;5<5=B>2 2 AB>;1F5=0G5=85!C<<0 ?> AB>;1FC!C<<0 ?> AB>;1FC$>@<C;0!C<<0 ?> AB>;1FC=0G5=850:A8<C< 2 AB>;1F50:A8<C< 2 AB>;1F5$>@<C;00:A8<C< 2 AB>;1F5=0G5=85!C<<0 ?> AB>;1FC!C<<0 ?> AB>;1FC$>@<C;0!C<<0 ?> AB>;1FC=0G5=850:A8<C< 2 AB>;1F50:A8<C< 2 AB>;1F5$>@<C;00:A8<C< 2 AB>;1F5=0G5=850:A8<C< 2 AB>;1F50:A8<C< 2 AB>;1F5$>@<C;00:A8<C< 2 AB>;1F5=0G5=85'8A;> M;5<5=B>2 2 AB>;1F5'8A;> M;5<5=B>2 2 AB>;1F5$>@<C;0'8A;> M;5<5=B>2 2 AB>;1F5=0G5=85!C<<0 ?> AB>;1FC!C<<0 ?> AB>;1FC!C<<0 ?> AB>;1FC!C<<0 ?> AB>;1FC!C<<0 ?> AB>;1FC!C<<0 ?> AB>;1FC!C<<0 ?> AB>;1FC!C<<0 ?> AB>;1FC!C<<0 ?> AB>;1FC'8A;> M;5<5=B>2 2 AB>;1F5'8A;> M;5<5=B>2 2 AB>;1F5'8A;> M;5<5=B>2 2 AB>;1F5!C<<0 ?> AB>;1FC!C<<0 ?> AB>;1FC!C<<0 ?> AB>;1FC0:A8<C< 2 AB>;1F50:A8<C< 2 AB>;1F50:A8<C< 2 AB>;1F5!C<<0 ?> AB>;1FC!C<<0 ?> AB>;1FC!C<<0 ?> AB>;1FC0:A8<C< 2 AB>;1F50:A8<C< 2 AB>;1F50:A8<C< 2 AB>;1F50:A8<C< 2 AB>;1F50:A8<C< 2 AB>;1F50:A8<C< 2 AB>;1F5'8A;> M;5<5=B>2 2 AB>;1F5'8A;> M;5<5=B>2 2 AB>;1F5'8A;> M;5<5=B>2 2 AB>;1F5!C<<0 ?> AB>;1FC!C<<0 ?> AB>;1FC5O2=0O <5@0!C<<0 ?> AB>;1FC!C<<0 ?> AB>;1FC5O2=0O <5@0!C<<0 ?> AB>;1FC!C<<0 ?> AB>;1FC5O2=0O <5@0'8A;> M;5<5=B>2 2 AB>;1F5'8A;> M;5<5=B>2 2 AB>;1F55O2=0O <5@0!C<<0 ?> AB>;1FC!C<<0 ?> AB>;1FC5O2=0O <5@00:A8<C< 2 AB>;1F50:A8<C< 2 AB>;1F55O2=0O <5@0!C<<0 ?> AB>;1FC!C<<0 ?> AB>;1FC5O2=0O <5@00:A8<C< 2 AB>;1F50:A8<C< 2 AB>;1F55O2=0O <5@00:A8<C< 2 AB>;1F50:A8<C< 2 AB>;1F55O2=0O <5@0'8A;> M;5<5=B>2 2 AB>;1F5'8A;> M;5<5=B>2 2 AB>;1F55O2=0O <5@0!C<<0 ?> AB>;1FC!C<<0 ?> AB>;1FC5O2=0O <5@0!C<<0 ?> AB>;1FC!C<<0 ?> AB>;1FC5O2=0O <5@0!C<<0 ?> AB>;1FC!C<<0 ?> AB>;1FC5O2=0O <5@0!C<<0 ?> AB>;1FC!C<<0 ?> AB>;1FC5O2=0O <5@0!C<<0 ?> AB>;1FC!C<<0 ?> AB>;1FC5O2=0O <5@0!C<<0 ?> AB>;1FC!C<<0 ?> AB>;1FC5O2=0O <5@00:A8<C< 2 AB>;1F50:A8<C< 2 AB>;1F55O2=0O <5@0!C<<0 ?> AB>;1FC!C<<0 ?> AB>;1FC5O2=0O <5@0!C<<0 ?> AB>;1FC!C<<0 ?> AB>;1FC5O2=0O <5@0!C<<0 ?> AB>;1FC!C<<0 ?> AB>;1FC5O2=0O <5@0'8A;> M;5<5=B>2 2 AB>;1F5'8A;> M;5<5=B>2 2 AB>;1F55O2=0O <5@0!C<<0 ?> AB>;1FC!C<<0 ?> AB>;1FC5O2=0O <5@00:A8<C< 2 AB>;1F50:A8<C< 2 AB>;1F55O2=0O <5@0!C<<0 ?> AB>;1FC!C<<0 ?> AB>;1FC5O2=0O <5@00:A8<C< 2 AB>;1F50:A8<C< 2 AB>;1F55O2=0O <5@00:A8<C< 2 AB>;1F50:A8<C< 2 AB>;1F55O2=0O <5@0'8A;> M;5<5=B>2 2 AB>;1F5'8A;> M;5<5=B>2 2 AB>;1F55O2=0O <5@0!C<<0 ?> AB>;1FC!C<<0 ?> AB>;1FC5O2=0O <5@0!C<<0 ?> AB>;1FC!C<<0 ?> AB>;1FC5O2=0O <5@0!C<<0 ?> AB>;1FC!C<<0 ?> AB>;1FC5O2=0O <5@0!C<<0 ?> AB>;1FC!C<<0 ?> AB>;1FC5O2=0O <5@0!C<<0 ?> AB>;1FC!C<<0 ?> AB>;1FC5O2=0O <5@0!C<<0 ?> AB>;1FC!C<<0 ?> AB>;1FC5O2=0O <5@00:A8<C< 2 AB>;1F50:A8<C< 2 AB>;1F55O2=0O <5@0>=5G=0O B>G:0>=5G=0O B>G:0
</file>

<file path=customXml/item7.xml><?xml version="1.0" encoding="utf-8"?>
<p:properties xmlns:p="http://schemas.microsoft.com/office/2006/metadata/properties" xmlns:xsi="http://www.w3.org/2001/XMLSchema-instance" xmlns:pc="http://schemas.microsoft.com/office/infopath/2007/PartnerControls">
  <documentManagement>
    <lcf76f155ced4ddcb4097134ff3c332f xmlns="9d226c47-cd18-4964-9161-6ccb92249125">
      <Terms xmlns="http://schemas.microsoft.com/office/infopath/2007/PartnerControls"/>
    </lcf76f155ced4ddcb4097134ff3c332f>
    <_x041f__x0440__x0438__x043c__x0435__x0447__x0430__x043d__x0438__x044f_ xmlns="9d226c47-cd18-4964-9161-6ccb92249125">Версия шаблона спецификации: rev.05 v03
Версия ETL процессора: rev.05 v03</_x041f__x0440__x0438__x043c__x0435__x0447__x0430__x043d__x0438__x044f_>
    <TaxCatchAll xmlns="00626a45-2e8b-44e2-b2b6-fb30aea60018" xsi:nil="true"/>
  </documentManagement>
</p:properties>
</file>

<file path=customXml/item8.xml>��
</file>

<file path=customXml/item9.xml>��
</file>

<file path=customXml/item10.xml><?xml version="1.0" encoding="utf-8"?>
<?mso-contentType ?>
<FormTemplates xmlns="http://schemas.microsoft.com/sharepoint/v3/contenttype/forms">
  <Display>DocumentLibraryForm</Display>
  <Edit>DocumentLibraryForm</Edit>
  <New>DocumentLibraryForm</New>
</FormTemplates>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xml version="1.0" encoding="utf-8"?>
<ct:contentTypeSchema xmlns:ct="http://schemas.microsoft.com/office/2006/metadata/contentType" xmlns:ma="http://schemas.microsoft.com/office/2006/metadata/properties/metaAttributes" ct:_="" ma:_="" ma:contentTypeName="Документ" ma:contentTypeID="0x01010007D84D672F2E7C4DA6F6F01E8FEF9773" ma:contentTypeVersion="13" ma:contentTypeDescription="Создание документа." ma:contentTypeScope="" ma:versionID="f6dda1c99d74023e3a111e79bf30b7c9">
  <xsd:schema xmlns:xsd="http://www.w3.org/2001/XMLSchema" xmlns:xs="http://www.w3.org/2001/XMLSchema" xmlns:p="http://schemas.microsoft.com/office/2006/metadata/properties" xmlns:ns2="9d226c47-cd18-4964-9161-6ccb92249125" xmlns:ns3="00626a45-2e8b-44e2-b2b6-fb30aea60018" targetNamespace="http://schemas.microsoft.com/office/2006/metadata/properties" ma:root="true" ma:fieldsID="a59be56e0ac557e79a5799f6a1480222" ns2:_="" ns3:_="">
    <xsd:import namespace="9d226c47-cd18-4964-9161-6ccb92249125"/>
    <xsd:import namespace="00626a45-2e8b-44e2-b2b6-fb30aea60018"/>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_x041f__x0440__x0438__x043c__x0435__x0447__x0430__x043d__x0438__x044f_" minOccurs="0"/>
                <xsd:element ref="ns3:SharedWithUsers" minOccurs="0"/>
                <xsd:element ref="ns3:SharedWithDetail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226c47-cd18-4964-9161-6ccb922491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_x041f__x0440__x0438__x043c__x0435__x0447__x0430__x043d__x0438__x044f_" ma:index="15" nillable="true" ma:displayName="Примечания" ma:format="Dropdown" ma:internalName="_x041f__x0440__x0438__x043c__x0435__x0447__x0430__x043d__x0438__x044f_">
      <xsd:simpleType>
        <xsd:restriction base="dms:Note">
          <xsd:maxLength value="255"/>
        </xsd:restriction>
      </xsd:simpleType>
    </xsd:element>
    <xsd:element name="lcf76f155ced4ddcb4097134ff3c332f" ma:index="19" nillable="true" ma:taxonomy="true" ma:internalName="lcf76f155ced4ddcb4097134ff3c332f" ma:taxonomyFieldName="MediaServiceImageTags" ma:displayName="Теги изображений" ma:readOnly="false" ma:fieldId="{5cf76f15-5ced-4ddc-b409-7134ff3c332f}" ma:taxonomyMulti="true" ma:sspId="4894c539-037d-4952-9f74-6cd15d93afd1"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00626a45-2e8b-44e2-b2b6-fb30aea60018" elementFormDefault="qualified">
    <xsd:import namespace="http://schemas.microsoft.com/office/2006/documentManagement/types"/>
    <xsd:import namespace="http://schemas.microsoft.com/office/infopath/2007/PartnerControls"/>
    <xsd:element name="SharedWithUsers" ma:index="16" nillable="true" ma:displayName="Общий доступ с использованием"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Совместно с подробностями" ma:internalName="SharedWithDetails" ma:readOnly="true">
      <xsd:simpleType>
        <xsd:restriction base="dms:Note">
          <xsd:maxLength value="255"/>
        </xsd:restriction>
      </xsd:simpleType>
    </xsd:element>
    <xsd:element name="TaxCatchAll" ma:index="20" nillable="true" ma:displayName="Taxonomy Catch All Column" ma:hidden="true" ma:list="{2b58a218-790f-4d1a-8e96-ee40b99efd83}" ma:internalName="TaxCatchAll" ma:showField="CatchAllData" ma:web="00626a45-2e8b-44e2-b2b6-fb30aea6001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Тип контента"/>
        <xsd:element ref="dc:title" minOccurs="0" maxOccurs="1" ma:index="4" ma:displayName="Название"/>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5.xml>��
</file>

<file path=customXml/itemProps1.xml><?xml version="1.0" encoding="utf-8"?>
<ds:datastoreItem xmlns:ds="http://schemas.openxmlformats.org/officeDocument/2006/customXml" ds:itemID="{1227D4DB-7E94-4BAD-BCFC-DC0425447207}"/>
</file>

<file path=customXml/itemProps2.xml><?xml version="1.0" encoding="utf-8"?>
<ds:datastoreItem xmlns:ds="http://schemas.openxmlformats.org/officeDocument/2006/customXml" ds:itemID="{27164862-B4D0-42ED-B65B-7BFA235BB597}"/>
</file>

<file path=customXml/itemProps3.xml><?xml version="1.0" encoding="utf-8"?>
<ds:datastoreItem xmlns:ds="http://schemas.openxmlformats.org/officeDocument/2006/customXml" ds:itemID="{51580B3B-1C2D-4B17-A644-F5A72DFBE2C9}"/>
</file>

<file path=customXml/itemProps4.xml><?xml version="1.0" encoding="utf-8"?>
<ds:datastoreItem xmlns:ds="http://schemas.openxmlformats.org/officeDocument/2006/customXml" ds:itemID="{690A8823-0FA6-4C6D-8530-3313241E28BF}"/>
</file>

<file path=customXml/itemProps5.xml><?xml version="1.0" encoding="utf-8"?>
<ds:datastoreItem xmlns:ds="http://schemas.openxmlformats.org/officeDocument/2006/customXml" ds:itemID="{BEFD5417-6C9B-4484-B9FA-AD6C08857211}"/>
</file>

<file path=customXml/itemProps6.xml><?xml version="1.0" encoding="utf-8"?>
<ds:datastoreItem xmlns:ds="http://schemas.openxmlformats.org/officeDocument/2006/customXml" ds:itemID="{CE1858E8-BA2D-4875-9272-28444F7693F6}"/>
</file>

<file path=customXml/itemProps7.xml><?xml version="1.0" encoding="utf-8"?>
<ds:datastoreItem xmlns:ds="http://schemas.openxmlformats.org/officeDocument/2006/customXml" ds:itemID="{4F428D2F-958C-4F90-BAE5-DE993D97C453}"/>
</file>

<file path=customXml/itemProps8.xml><?xml version="1.0" encoding="utf-8"?>
<ds:datastoreItem xmlns:ds="http://schemas.openxmlformats.org/officeDocument/2006/customXml" ds:itemID="{76690773-6F00-477C-A914-3ED7D15F6F95}"/>
</file>

<file path=customXml/itemProps9.xml><?xml version="1.0" encoding="utf-8"?>
<ds:datastoreItem xmlns:ds="http://schemas.openxmlformats.org/officeDocument/2006/customXml" ds:itemID="{E5D20989-897E-43AF-BCD1-629124E8DE46}"/>
</file>

<file path=customXml/itemProps10.xml><?xml version="1.0" encoding="utf-8"?>
<ds:datastoreItem xmlns:ds="http://schemas.openxmlformats.org/officeDocument/2006/customXml" ds:itemID="{CE7E273D-A254-40CF-AC3C-56F5D63719EA}"/>
</file>

<file path=customXml/itemProps11.xml><?xml version="1.0" encoding="utf-8"?>
<ds:datastoreItem xmlns:ds="http://schemas.openxmlformats.org/officeDocument/2006/customXml" ds:itemID="{620C677B-6476-4AB2-82D8-06CF3B1D2316}"/>
</file>

<file path=customXml/itemProps12.xml><?xml version="1.0" encoding="utf-8"?>
<ds:datastoreItem xmlns:ds="http://schemas.openxmlformats.org/officeDocument/2006/customXml" ds:itemID="{2E2374CD-0C5A-429C-B090-58ED1E60F259}"/>
</file>

<file path=customXml/itemProps13.xml><?xml version="1.0" encoding="utf-8"?>
<ds:datastoreItem xmlns:ds="http://schemas.openxmlformats.org/officeDocument/2006/customXml" ds:itemID="{E7211B9E-D327-4E0E-8C5C-49BE9214F9B9}"/>
</file>

<file path=customXml/itemProps14.xml><?xml version="1.0" encoding="utf-8"?>
<ds:datastoreItem xmlns:ds="http://schemas.openxmlformats.org/officeDocument/2006/customXml" ds:itemID="{F59D988E-CCBF-4B04-B557-F52EF1998916}"/>
</file>

<file path=customXml/itemProps15.xml><?xml version="1.0" encoding="utf-8"?>
<ds:datastoreItem xmlns:ds="http://schemas.openxmlformats.org/officeDocument/2006/customXml" ds:itemID="{22398727-A402-4C12-A809-6661EE9DF75C}"/>
</file>

<file path=customXml/itemProps16.xml><?xml version="1.0" encoding="utf-8"?>
<ds:datastoreItem xmlns:ds="http://schemas.openxmlformats.org/officeDocument/2006/customXml" ds:itemID="{990A2903-C01D-4B4F-975E-D448D0E1A565}"/>
</file>

<file path=customXml/itemProps17.xml><?xml version="1.0" encoding="utf-8"?>
<ds:datastoreItem xmlns:ds="http://schemas.openxmlformats.org/officeDocument/2006/customXml" ds:itemID="{CBBC371F-D438-4E26-899A-F00123216BBA}"/>
</file>

<file path=customXml/itemProps18.xml><?xml version="1.0" encoding="utf-8"?>
<ds:datastoreItem xmlns:ds="http://schemas.openxmlformats.org/officeDocument/2006/customXml" ds:itemID="{72719360-00E5-4AA6-B91A-9C5D05D2BEE1}"/>
</file>

<file path=customXml/itemProps19.xml><?xml version="1.0" encoding="utf-8"?>
<ds:datastoreItem xmlns:ds="http://schemas.openxmlformats.org/officeDocument/2006/customXml" ds:itemID="{05CC793E-835C-4C69-85A1-4B17AEF3B23A}"/>
</file>

<file path=customXml/itemProps20.xml><?xml version="1.0" encoding="utf-8"?>
<ds:datastoreItem xmlns:ds="http://schemas.openxmlformats.org/officeDocument/2006/customXml" ds:itemID="{2D1A7F6C-22DE-409F-8641-762CA85EFA7F}"/>
</file>

<file path=customXml/itemProps21.xml><?xml version="1.0" encoding="utf-8"?>
<ds:datastoreItem xmlns:ds="http://schemas.openxmlformats.org/officeDocument/2006/customXml" ds:itemID="{AAA16094-6EFC-4DAB-BA70-5996474E7C0D}"/>
</file>

<file path=customXml/itemProps22.xml><?xml version="1.0" encoding="utf-8"?>
<ds:datastoreItem xmlns:ds="http://schemas.openxmlformats.org/officeDocument/2006/customXml" ds:itemID="{F3A1402B-BE07-46A2-BAA7-9AC352A3FA91}"/>
</file>

<file path=customXml/itemProps23.xml><?xml version="1.0" encoding="utf-8"?>
<ds:datastoreItem xmlns:ds="http://schemas.openxmlformats.org/officeDocument/2006/customXml" ds:itemID="{CCD3C4FF-65BF-403E-94C5-A7CC9DB96C19}"/>
</file>

<file path=customXml/itemProps24.xml><?xml version="1.0" encoding="utf-8"?>
<ds:datastoreItem xmlns:ds="http://schemas.openxmlformats.org/officeDocument/2006/customXml" ds:itemID="{74A0FFB9-2937-4E34-8B04-38B119617C0B}"/>
</file>

<file path=customXml/itemProps25.xml><?xml version="1.0" encoding="utf-8"?>
<ds:datastoreItem xmlns:ds="http://schemas.openxmlformats.org/officeDocument/2006/customXml" ds:itemID="{35062C89-A1C6-4B8A-B128-5C9C2944C808}"/>
</file>

<file path=docProps/app.xml><?xml version="1.0" encoding="utf-8"?>
<Properties xmlns="http://schemas.openxmlformats.org/officeDocument/2006/extended-properties" xmlns:vt="http://schemas.openxmlformats.org/officeDocument/2006/docPropsVTypes">
  <Application>Microsoft Excel Online</Application>
  <Manager>ivan.kukushkin@mas-tech.ru</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Наталья Кукушкина;ivan.kukushkin@mas-tech.ru</dc:creator>
  <cp:keywords/>
  <dc:description/>
  <cp:lastModifiedBy>Ольга Гатауллина</cp:lastModifiedBy>
  <cp:revision/>
  <dcterms:created xsi:type="dcterms:W3CDTF">2023-07-03T07:42:32Z</dcterms:created>
  <dcterms:modified xsi:type="dcterms:W3CDTF">2026-10-19T10:00:02Z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0x01010007D84D672F2E7C4DA6F6F01E8FEF9773</vt:lpwstr>
  </property>
</Properties>
</file>