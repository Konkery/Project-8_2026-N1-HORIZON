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960f393676dadff3/01__LLC_MAS_2025/CONTRACT/2025/27_2025-N3-МАС/02__Спецификации/03__ТКП/02__Участники/00__raw/"/>
    </mc:Choice>
  </mc:AlternateContent>
  <xr:revisionPtr revIDLastSave="499" documentId="8_{D351F077-B65E-4D0C-A186-0C63A900A0B1}" xr6:coauthVersionLast="47" xr6:coauthVersionMax="47" xr10:uidLastSave="{B0D18557-C08F-4CC0-B6C9-6151EC890056}"/>
  <bookViews>
    <workbookView xWindow="0" yWindow="0" windowWidth="36312" windowHeight="17196" tabRatio="589" xr2:uid="{00000000-000D-0000-FFFF-FFFF00000000}"/>
  </bookViews>
  <sheets>
    <sheet name="SpecificationWork" sheetId="7" r:id="rId1"/>
    <sheet name="HandbookBrand" sheetId="2" state="hidden" r:id="rId2"/>
    <sheet name="HandbookSupplier" sheetId="8" state="hidden" r:id="rId3"/>
    <sheet name="HandbookUnit" sheetId="9" state="hidden" r:id="rId4"/>
    <sheet name="TableShema" sheetId="10" r:id="rId5"/>
    <sheet name="ConfigJSON" sheetId="11" r:id="rId6"/>
  </sheets>
  <definedNames>
    <definedName name="ExternalData_1" localSheetId="2" hidden="1">HandbookSupplier!$A$1:$B$48</definedName>
    <definedName name="ExternalData_1" localSheetId="3" hidden="1">HandbookUnit!$A$1:$B$5</definedName>
    <definedName name="ExternalData_2" localSheetId="1" hidden="1">HandbookBrand!#REF!</definedName>
    <definedName name="ExternalData_3" localSheetId="1" hidden="1">HandbookBrand!#REF!</definedName>
    <definedName name="ExternalData_4" localSheetId="1" hidden="1">HandbookBrand!$A$1:$B$87</definedName>
    <definedName name="ExternalData_5" localSheetId="1" hidden="1">HandbookBrand!#REF!</definedName>
  </definedNames>
  <calcPr calcId="191028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8" i="7" l="1"/>
  <c r="W8" i="7"/>
  <c r="Y8" i="7" s="1"/>
  <c r="F11" i="7"/>
  <c r="T11" i="7"/>
  <c r="AA11" i="7"/>
  <c r="AE11" i="7"/>
  <c r="P10" i="7"/>
  <c r="Q10" i="7"/>
  <c r="E10" i="7"/>
  <c r="R10" i="7"/>
  <c r="S10" i="7"/>
  <c r="V10" i="7"/>
  <c r="W10" i="7"/>
  <c r="Y10" i="7" s="1"/>
  <c r="Q9" i="7"/>
  <c r="P9" i="7"/>
  <c r="R9" i="7" s="1"/>
  <c r="U9" i="7" s="1"/>
  <c r="E9" i="7"/>
  <c r="S9" i="7"/>
  <c r="V9" i="7"/>
  <c r="W9" i="7" s="1"/>
  <c r="Y9" i="7" s="1"/>
  <c r="P8" i="7"/>
  <c r="E8" i="7"/>
  <c r="Q8" i="7"/>
  <c r="R8" i="7" s="1"/>
  <c r="S8" i="7"/>
  <c r="P7" i="7"/>
  <c r="Q7" i="7"/>
  <c r="R7" i="7"/>
  <c r="U7" i="7" s="1"/>
  <c r="S7" i="7"/>
  <c r="E7" i="7"/>
  <c r="W7" i="7"/>
  <c r="Y7" i="7" s="1"/>
  <c r="P5" i="7"/>
  <c r="E5" i="7"/>
  <c r="Q5" i="7"/>
  <c r="R5" i="7" s="1"/>
  <c r="U5" i="7" s="1"/>
  <c r="S5" i="7"/>
  <c r="V5" i="7"/>
  <c r="W5" i="7" s="1"/>
  <c r="V4" i="7"/>
  <c r="S3" i="7"/>
  <c r="S4" i="7"/>
  <c r="S6" i="7"/>
  <c r="S2" i="7"/>
  <c r="Q3" i="7"/>
  <c r="Q4" i="7"/>
  <c r="Q6" i="7"/>
  <c r="Q2" i="7"/>
  <c r="P3" i="7"/>
  <c r="P4" i="7"/>
  <c r="P6" i="7"/>
  <c r="R6" i="7" s="1"/>
  <c r="P2" i="7"/>
  <c r="U10" i="7" l="1"/>
  <c r="X10" i="7"/>
  <c r="Z10" i="7" s="1"/>
  <c r="X9" i="7"/>
  <c r="Z9" i="7" s="1"/>
  <c r="U8" i="7"/>
  <c r="X8" i="7"/>
  <c r="Z8" i="7" s="1"/>
  <c r="X7" i="7"/>
  <c r="Z7" i="7" s="1"/>
  <c r="X5" i="7"/>
  <c r="Z5" i="7" s="1"/>
  <c r="Y5" i="7"/>
  <c r="R4" i="7"/>
  <c r="R3" i="7"/>
  <c r="W3" i="7" l="1"/>
  <c r="W4" i="7"/>
  <c r="W6" i="7"/>
  <c r="W2" i="7"/>
  <c r="Y2" i="7" l="1"/>
  <c r="U6" i="7"/>
  <c r="E6" i="7"/>
  <c r="Y6" i="7"/>
  <c r="E4" i="7"/>
  <c r="U4" i="7"/>
  <c r="Y4" i="7"/>
  <c r="E3" i="7"/>
  <c r="Y3" i="7"/>
  <c r="E2" i="7"/>
  <c r="X3" i="7" l="1"/>
  <c r="Z3" i="7" s="1"/>
  <c r="U3" i="7"/>
  <c r="X6" i="7"/>
  <c r="Z6" i="7" s="1"/>
  <c r="X4" i="7"/>
  <c r="Z4" i="7" s="1"/>
  <c r="R2" i="7"/>
  <c r="U2" i="7" s="1"/>
  <c r="X2" i="7" l="1"/>
  <c r="Z2" i="7" s="1"/>
  <c r="Z11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tc={ED9B6CA6-986E-4566-99F0-4027F85C7816}</author>
    <author>tc={69DE0156-E821-4715-BC82-AA52F0A41E1D}</author>
    <author>tc={3BB71004-7B0D-4943-B3BF-051721C28ACD}</author>
    <author>tc={E8CFB1EB-CB4D-4B14-9A0A-84DA5403CA61}</author>
  </authors>
  <commentList>
    <comment ref="A1" authorId="0" shapeId="0" xr:uid="{ED9B6CA6-986E-4566-99F0-4027F85C7816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Столбец хранит уникальный, для данной таблицы в данной Excel книге, целочисленные идентификаторы. Данный идентификатор не является основообразующим для работы BI скриптов, в качестве таковых выступают значения ключевого для данной таблицы столбца - 'IDconfig'. Тем не менее к столбцу предъявляются типовые требования целочисленных ID столбцов - значения должны быть целочисленным, начинаться строго с '1' и не иметь разрывов и перескоков в цепочке значений.</t>
      </text>
    </comment>
    <comment ref="B1" authorId="1" shapeId="0" xr:uid="{69DE0156-E821-4715-BC82-AA52F0A41E1D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Столбец хранит уникальные, для данной таблицы в данной Excel книге, текстовые идентификаторы. По данному идентификатору внешний Power Query скрипт будет находить  требуемый конфигурационный JSON объект в столбце ‘CONFIG_JSON’ и обрабатывать таблицу в соответствии с ним. В качестве значений могут выступать любые текстовые фразы, в том числе состоящие из нескольких слов но не имеющие в своем составе пробелов, также необходимо соблюдать язык символов - только латиница.</t>
      </text>
    </comment>
    <comment ref="C1" authorId="2" shapeId="0" xr:uid="{3BB71004-7B0D-4943-B3BF-051721C28ACD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Столбец хранит набор конфигурационных объектов, строго в формате JSON, в которых на языке 'HorizonBI' описано:
'ЧТО/КАК/В КАКОМ ОБЪЕМЕ' необходимо обработать объект Excel книги.</t>
      </text>
    </comment>
    <comment ref="D1" authorId="3" shapeId="0" xr:uid="{E8CFB1EB-CB4D-4B14-9A0A-84DA5403CA61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Комментарий определяющий назначение конфигурационного JSON объекта.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78AB620-ABCF-4EFF-961F-F4B992A3BB78}" keepAlive="1" name="Запрос — fnGetColumnNamesByTableName" description="Соединение с запросом &quot;fnGetColumnNamesByTableName&quot; в книге." type="5" refreshedVersion="0" background="1">
    <dbPr connection="Provider=Microsoft.Mashup.OleDb.1;Data Source=$Workbook$;Location=fnGetColumnNamesByTableName;Extended Properties=&quot;&quot;" command="SELECT * FROM [fnGetColumnNamesByTableName]"/>
  </connection>
  <connection id="2" xr16:uid="{9203832A-213F-4805-AC55-9A1A1581B4BE}" keepAlive="1" name="Запрос — QueryVendorAndBrand" description="Соединение с запросом &quot;QueryVendorAndBrand&quot; в книге." type="5" refreshedVersion="8" background="1" saveData="1">
    <dbPr connection="Provider=Microsoft.Mashup.OleDb.1;Data Source=$Workbook$;Location=QueryVendorAndBrand;Extended Properties=&quot;&quot;" command="SELECT * FROM [QueryVendorAndBrand]"/>
  </connection>
  <connection id="3" xr16:uid="{F3875A7B-A856-42A6-8B35-FC6AEB7964CB}" keepAlive="1" name="Запрос — sourceTable_TabSupplier" description="Соединение с запросом &quot;sourceTable_TabSupplier&quot; в книге." type="5" refreshedVersion="0" background="1">
    <dbPr connection="Provider=Microsoft.Mashup.OleDb.1;Data Source=$Workbook$;Location=sourceTable_TabSupplier;Extended Properties=&quot;&quot;" command="SELECT * FROM [sourceTable_TabSupplier]"/>
  </connection>
  <connection id="4" xr16:uid="{2BF1B474-0A8C-4FB8-87D4-DEF68FC2F0A2}" keepAlive="1" name="Запрос — sourceTable_TabUnits" description="Соединение с запросом &quot;sourceTable_TabUnits&quot; в книге." type="5" refreshedVersion="0" background="1">
    <dbPr connection="Provider=Microsoft.Mashup.OleDb.1;Data Source=$Workbook$;Location=sourceTable_TabUnits;Extended Properties=&quot;&quot;" command="SELECT * FROM [sourceTable_TabUnits]"/>
  </connection>
  <connection id="5" xr16:uid="{4C07BC3C-7958-45FD-8F8A-1BB3C4C97341}" keepAlive="1" name="Запрос — sourceTable_TabVendorAndBrand" description="Соединение с запросом &quot;sourceTable_TabVendorAndBrand&quot; в книге." type="5" refreshedVersion="0" background="1">
    <dbPr connection="Provider=Microsoft.Mashup.OleDb.1;Data Source=$Workbook$;Location=sourceTable_TabVendorAndBrand;Extended Properties=&quot;&quot;" command="SELECT * FROM [sourceTable_TabVendorAndBrand]"/>
  </connection>
  <connection id="6" xr16:uid="{448C315B-60D3-4E12-96FC-EBAAF462906C}" keepAlive="1" name="Запрос — sourceWorkbook_TabSupplier" description="Соединение с запросом &quot;sourceWorkbook_TabSupplier&quot; в книге." type="5" refreshedVersion="0" background="1">
    <dbPr connection="Provider=Microsoft.Mashup.OleDb.1;Data Source=$Workbook$;Location=sourceWorkbook_TabSupplier;Extended Properties=&quot;&quot;" command="SELECT * FROM [sourceWorkbook_TabSupplier]"/>
  </connection>
  <connection id="7" xr16:uid="{DBC3C5ED-51C7-48E4-9E62-CDC26F6E525A}" keepAlive="1" name="Запрос — sourceWorkbook_TabUnits" description="Соединение с запросом &quot;sourceWorkbook_TabUnits&quot; в книге." type="5" refreshedVersion="0" background="1">
    <dbPr connection="Provider=Microsoft.Mashup.OleDb.1;Data Source=$Workbook$;Location=sourceWorkbook_TabUnits;Extended Properties=&quot;&quot;" command="SELECT * FROM [sourceWorkbook_TabUnits]"/>
  </connection>
  <connection id="8" xr16:uid="{79ACF7BF-4FEB-4F8B-9DA4-B72821435CD3}" keepAlive="1" name="Запрос — sourceWorkbook_TabVendorAndBrand" description="Соединение с запросом &quot;sourceWorkbook_TabVendorAndBrand&quot; в книге." type="5" refreshedVersion="0" background="1">
    <dbPr connection="Provider=Microsoft.Mashup.OleDb.1;Data Source=$Workbook$;Location=sourceWorkbook_TabVendorAndBrand;Extended Properties=&quot;&quot;" command="SELECT * FROM [sourceWorkbook_TabVendorAndBrand]"/>
  </connection>
  <connection id="9" xr16:uid="{C96DBCB7-5A40-4CED-BDF8-CD94030EE203}" keepAlive="1" name="Запрос — Supplier" description="Соединение с запросом &quot;Supplier&quot; в книге." type="5" refreshedVersion="8" background="1" saveData="1">
    <dbPr connection="Provider=Microsoft.Mashup.OleDb.1;Data Source=$Workbook$;Location=Supplier;Extended Properties=&quot;&quot;" command="SELECT * FROM [Supplier]"/>
  </connection>
  <connection id="10" xr16:uid="{4A6E10B4-7F0E-4159-A988-A0E844B93003}" keepAlive="1" name="Запрос — Units" description="Соединение с запросом &quot;Units&quot; в книге." type="5" refreshedVersion="8" background="1" saveData="1">
    <dbPr connection="Provider=Microsoft.Mashup.OleDb.1;Data Source=$Workbook$;Location=Units;Extended Properties=&quot;&quot;" command="SELECT * FROM [Units]"/>
  </connection>
</connections>
</file>

<file path=xl/sharedStrings.xml><?xml version="1.0" encoding="utf-8"?>
<sst xmlns="http://schemas.openxmlformats.org/spreadsheetml/2006/main" count="334" uniqueCount="194">
  <si>
    <t>№ п/п</t>
  </si>
  <si>
    <t>№ ИСХ</t>
  </si>
  <si>
    <t>№ КОМПЛЕКТА</t>
  </si>
  <si>
    <t>№ ПОРЯДКОВЫЙ В КОМПЛЕКТЕ</t>
  </si>
  <si>
    <t>№ ПОЛНЫЙ</t>
  </si>
  <si>
    <t>ОПИСАНИЕ КОМПЛЕКТА</t>
  </si>
  <si>
    <t>НАИМЕНОВАНИЕ</t>
  </si>
  <si>
    <t>ОПИСАНИЕ/ХАРАКТЕРИСТИКИ</t>
  </si>
  <si>
    <t>On-Off</t>
  </si>
  <si>
    <t>БРЕНД</t>
  </si>
  <si>
    <t>ПОСТАВЩИК</t>
  </si>
  <si>
    <t>АРТИКУЛ ПОСТАВЩИК</t>
  </si>
  <si>
    <t>АРТИКУЛ МАС</t>
  </si>
  <si>
    <t>ЕД ИЗМ</t>
  </si>
  <si>
    <t>КОЛИЧЕСТВО В КОМПЛЕКТЕ</t>
  </si>
  <si>
    <t>КОМПЛЕКТОВ В ПОСТАВКЕ</t>
  </si>
  <si>
    <t>КОЛИЧЕСТВО ИТОГО</t>
  </si>
  <si>
    <t>КОЛИЧЕСТВО У ПОСТАВ-КА</t>
  </si>
  <si>
    <t>ЦЕНА ЗА ЕД. $ЗАКУП</t>
  </si>
  <si>
    <t>СЕБЕСТОИМОСТЬ $ЗАКУП</t>
  </si>
  <si>
    <t>КОЭФФИЦИЕНТ НАЦЕНКИ</t>
  </si>
  <si>
    <t>ЦЕНА ЗА ЕД. $РЕАЛИЗАЦИЯ</t>
  </si>
  <si>
    <t>СТОИМОСТЬ $РЕАЛИЗАЦИЯ</t>
  </si>
  <si>
    <t>ЦЕНА ЗА ЕД. $ИТОГ</t>
  </si>
  <si>
    <t>СТОИМОСТЬ $ИТОГ</t>
  </si>
  <si>
    <t>ТРЕБОВАНИЯ ИСХОДНЫЕ</t>
  </si>
  <si>
    <t>ПРИМЕЧАНИЕ</t>
  </si>
  <si>
    <t>ССЫЛКА</t>
  </si>
  <si>
    <t>ИЗОБРАЖЕНИЕ ТМЦ</t>
  </si>
  <si>
    <t>on</t>
  </si>
  <si>
    <t>Gigabyte</t>
  </si>
  <si>
    <t>Киберкуб</t>
  </si>
  <si>
    <t>noname</t>
  </si>
  <si>
    <t>шт</t>
  </si>
  <si>
    <t>ORIGO</t>
  </si>
  <si>
    <t>OCS</t>
  </si>
  <si>
    <t>Huawei</t>
  </si>
  <si>
    <t>НАГ</t>
  </si>
  <si>
    <t>LR-Link</t>
  </si>
  <si>
    <t>SNR</t>
  </si>
  <si>
    <t>BRAND</t>
  </si>
  <si>
    <t>COMPANY_LABEL</t>
  </si>
  <si>
    <t>UNITS</t>
  </si>
  <si>
    <t>Амперка</t>
  </si>
  <si>
    <t>РоботБаза</t>
  </si>
  <si>
    <t>кп</t>
  </si>
  <si>
    <t>Знаток</t>
  </si>
  <si>
    <t>ОЗОН</t>
  </si>
  <si>
    <t>Pitsco</t>
  </si>
  <si>
    <t>Iarduino</t>
  </si>
  <si>
    <t>Arduino</t>
  </si>
  <si>
    <t>LiitoKala</t>
  </si>
  <si>
    <t>Feetech</t>
  </si>
  <si>
    <t>Амперкот</t>
  </si>
  <si>
    <t>61mcu</t>
  </si>
  <si>
    <t>Supereyes</t>
  </si>
  <si>
    <t>DFRobot</t>
  </si>
  <si>
    <t>Platan</t>
  </si>
  <si>
    <t>Yahboom</t>
  </si>
  <si>
    <t>Robotclass</t>
  </si>
  <si>
    <t>Hipe</t>
  </si>
  <si>
    <t>Вольтмастер</t>
  </si>
  <si>
    <t>Fixfly</t>
  </si>
  <si>
    <t>ХоббиРу</t>
  </si>
  <si>
    <t>Sharp</t>
  </si>
  <si>
    <t>МИНИБОТ</t>
  </si>
  <si>
    <t>МАСОР</t>
  </si>
  <si>
    <t>Паркфлаер</t>
  </si>
  <si>
    <t>МЭЛТ</t>
  </si>
  <si>
    <t>Kingbright</t>
  </si>
  <si>
    <t>RC-TODAY.RU</t>
  </si>
  <si>
    <t xml:space="preserve">Texas Instruments </t>
  </si>
  <si>
    <t>PLUS3</t>
  </si>
  <si>
    <t>Philips</t>
  </si>
  <si>
    <t>IP-mania</t>
  </si>
  <si>
    <t>Epcos</t>
  </si>
  <si>
    <t>X-models</t>
  </si>
  <si>
    <t>WeMos</t>
  </si>
  <si>
    <t>RcDrive</t>
  </si>
  <si>
    <t>LG</t>
  </si>
  <si>
    <t>RC-GO.RU</t>
  </si>
  <si>
    <t>FlySky</t>
  </si>
  <si>
    <t>Air-hobby.ru</t>
  </si>
  <si>
    <t>Nanopix</t>
  </si>
  <si>
    <t>RCcopter.ru</t>
  </si>
  <si>
    <t xml:space="preserve">Racerstar </t>
  </si>
  <si>
    <t>MyDrone</t>
  </si>
  <si>
    <t>DJI</t>
  </si>
  <si>
    <t>CompactTool</t>
  </si>
  <si>
    <t>AKK Technology</t>
  </si>
  <si>
    <t>RoboShop</t>
  </si>
  <si>
    <t>Eachine</t>
  </si>
  <si>
    <t>Duino</t>
  </si>
  <si>
    <t>Happymodel</t>
  </si>
  <si>
    <t>Умные модули</t>
  </si>
  <si>
    <t>BETAFPV</t>
  </si>
  <si>
    <t>Город карт</t>
  </si>
  <si>
    <t>HQProp</t>
  </si>
  <si>
    <t>Robot-kit</t>
  </si>
  <si>
    <t>Gaoneng</t>
  </si>
  <si>
    <t>Dinogy</t>
  </si>
  <si>
    <t>18650pro.ru</t>
  </si>
  <si>
    <t>Bringsmart</t>
  </si>
  <si>
    <t>SkyRC</t>
  </si>
  <si>
    <t>ДНС</t>
  </si>
  <si>
    <t>Hyperline</t>
  </si>
  <si>
    <t>Ситилинк</t>
  </si>
  <si>
    <t xml:space="preserve">Waveshare </t>
  </si>
  <si>
    <t>Raspberry PI</t>
  </si>
  <si>
    <t>OnPad</t>
  </si>
  <si>
    <t>ClimateGuard</t>
  </si>
  <si>
    <t>МАС</t>
  </si>
  <si>
    <t>Sciosense</t>
  </si>
  <si>
    <t>Альбитех</t>
  </si>
  <si>
    <t>Samsung</t>
  </si>
  <si>
    <t>Чип и Дип</t>
  </si>
  <si>
    <t>Элком+</t>
  </si>
  <si>
    <t>Parts Direct</t>
  </si>
  <si>
    <t>NSGate</t>
  </si>
  <si>
    <t>Kingston</t>
  </si>
  <si>
    <t>SanDisk</t>
  </si>
  <si>
    <t>DIATONE INNOVATIONS</t>
  </si>
  <si>
    <t>BrotherHobby</t>
  </si>
  <si>
    <t>HAKRC</t>
  </si>
  <si>
    <t>DM-RC</t>
  </si>
  <si>
    <t>Readytosky</t>
  </si>
  <si>
    <t>AirParts</t>
  </si>
  <si>
    <t>RadioMaster</t>
  </si>
  <si>
    <t xml:space="preserve">	Rush</t>
  </si>
  <si>
    <t>TBS</t>
  </si>
  <si>
    <t>Radiomaster</t>
  </si>
  <si>
    <t>Foxeer</t>
  </si>
  <si>
    <t>GepRC</t>
  </si>
  <si>
    <t>SpeedyBee</t>
  </si>
  <si>
    <t>Caddx</t>
  </si>
  <si>
    <t>Flywoo</t>
  </si>
  <si>
    <t>Gemfan</t>
  </si>
  <si>
    <t>Xiaomi</t>
  </si>
  <si>
    <t>Горизонт</t>
  </si>
  <si>
    <t>ISA</t>
  </si>
  <si>
    <t>STMicroelectronics</t>
  </si>
  <si>
    <t>Hiper</t>
  </si>
  <si>
    <t xml:space="preserve">Orange </t>
  </si>
  <si>
    <t>Hoco</t>
  </si>
  <si>
    <t>ОКЛИК</t>
  </si>
  <si>
    <t>Baseus</t>
  </si>
  <si>
    <t>Cabeus</t>
  </si>
  <si>
    <t>MikroTik</t>
  </si>
  <si>
    <t>Яндекс</t>
  </si>
  <si>
    <t>Sonoff</t>
  </si>
  <si>
    <t>D-Link</t>
  </si>
  <si>
    <t>Aqara</t>
  </si>
  <si>
    <t>Spruthub</t>
  </si>
  <si>
    <t>ОнЛайн Трейд</t>
  </si>
  <si>
    <t>ЛУИС+ Самара</t>
  </si>
  <si>
    <t>ДССЛ</t>
  </si>
  <si>
    <t>Tfortis</t>
  </si>
  <si>
    <t>Lanmaster</t>
  </si>
  <si>
    <t>NIKOMAX</t>
  </si>
  <si>
    <t>СOLUMNS_NAME</t>
  </si>
  <si>
    <t>СOLUMN_DESCRIPTIONS</t>
  </si>
  <si>
    <t>TABLE_NAME</t>
  </si>
  <si>
    <t>IDnum</t>
  </si>
  <si>
    <t>IDconfig</t>
  </si>
  <si>
    <t>CONFIG_JSON</t>
  </si>
  <si>
    <t>COMMENT</t>
  </si>
  <si>
    <t>ПРИЗНАК ПОСТ ОБРАБОТКИ</t>
  </si>
  <si>
    <t>none</t>
  </si>
  <si>
    <t>TabSpecificationWork</t>
  </si>
  <si>
    <t>IDsupplier</t>
  </si>
  <si>
    <t>IDvendor</t>
  </si>
  <si>
    <t>чел/час</t>
  </si>
  <si>
    <t>этап</t>
  </si>
  <si>
    <t>СРОК ПОСТАВКИ $ИТОГ</t>
  </si>
  <si>
    <t>Инжиниринг проектный - КР</t>
  </si>
  <si>
    <t>Проектирование металлоконструкции модуля, предназначенного для размещения активной электроники ПТК (программно-технического комплекса) АСУ Изделия. Состав работ:
- анализ существующего пространства для размещения электроники;
- обмер электронных компонентов ПТК;
- создание упрощенной 3D модели электронных  компонентов ПТК;
- разработка 3D проекта;
- разработка комплекта КД.
 Результатом работ по этапу является:
 - комплект КД для изготовления модуля.</t>
  </si>
  <si>
    <t>Проектирование узла коммутации сети ~230 В</t>
  </si>
  <si>
    <t>Проектирование интегрированного узла крепления LCD touch дисплея, хаба АСУ ВУ, RFID и QR считывателя</t>
  </si>
  <si>
    <t>Разработка основных видов Изделия с размерами.  Состав работ:
- анализ геометрии и конструкционных особенностей Изделия;
- обмер основных внешних и внутренних размеров конструкции Изделия;
- создание упрощенной 3D модели изделия;
- разработка 3D проекта;
- разработка комплекта КД.
 Результатом работ по этапу является:
 - комплект КД.</t>
  </si>
  <si>
    <t>Проектирование транспортировочной тары</t>
  </si>
  <si>
    <t>Разработка эскизов общего вида Изделия</t>
  </si>
  <si>
    <t>Проектирование кронштейна и бокса, предназначенного для внешнего размещения HMI компонентов - LCD touch дисплея, хаба АСУ ВУ, RFID и QR считывателя. Данный модуль предназначен для всех моделей вендинговых аппаратов у которых невозможно или нежелательно внутренее, интегрированное размещение HMI. Состав работ:
- анализ существующего существующих решений;
- обмер электронных компонентов;
- создание упрощенной 3D модели электронных  компонентов;
- разработка 3D проекта;
- разработка комплекта КД.
 Результатом работ по этапу является:
 - комплект КД для изготовления кронштейна и бокса.</t>
  </si>
  <si>
    <t>Проектирование кронштейна и бокса  для внешнего размещения HMI - LCD touch дисплея, хаба АСУ ВУ, RFID и QR считывателя</t>
  </si>
  <si>
    <t>Проведение конструкторской и технологической оценки переноса (изменение) точек крепления колес</t>
  </si>
  <si>
    <t>Разработка транспортировочной тары и элементов защиты внутренних компонентов Изделия критичных к механическим воздействиям. Состав работ:
- анализ геометрии и конструкционных особенностей Изделия;
- изучение существующих решений;
- создание упрощенной 3D модели компонентов подлежащих защите;
- разработка 3D проекта;
- разработка комплекта КД.
 Результатом работ по этапу является:
 - комплект КД с инструкцией для производства тары.</t>
  </si>
  <si>
    <t>Проектирование кронштейна  камер видеонаблюдения</t>
  </si>
  <si>
    <t>Проведение инженерного анализа текущей конструкции Изделия в точках крепления колес. Цель - оценка разработки решения которое позволит увеличить межосевое расстояние левой и правой пар колес.
Состав работ:
- инженерный анализ текущей конструкции аппарата в точках крепления колес;
- анализ конструкции колес.
 Результатом работ по этапу является:
 - отчет о возможности проведения конструкторсских работ, либо по непосредственному смещению точек крепления колес, либо по разработке переходной оснастки которая позволит сместить точки крепления.</t>
  </si>
  <si>
    <t>Проектирование двери спиральной секции т 2-х приемников ТМЦ</t>
  </si>
  <si>
    <t>Итог</t>
  </si>
  <si>
    <t>Проектирование модуля размещения электронных компонентов ПТК</t>
  </si>
  <si>
    <t>Проектирование металлоконструкции модуля, предназначенного для подключения к Изделию сети переменного тока ~230 В, вынос модуля  в зону доступности  персонала,  интеграция в модуль автоматического выключателя в соответствии с ПУЭ, заземляющего контакта.
Состав работ:
- анализ существующего пространства для размещения модуля;
- обмер электронных компонентов;
- создание упрощенной 3D модели электронных  компонентов;
- разработка 3D проекта;
- разработка комплекта КД.
 Результатом работ по этапу является:
 - комплект КД для изготовления модуля.</t>
  </si>
  <si>
    <t>Проектирование металлоконструкции модуля, предназначенного для создания интегрированного узла крепления HMI компонентов - LCD touch дисплея, хаба АСУ ВУ, RFID и QR считывателя. Данный модуль предназначен для замены крепления существующего моноблока. Модуль ( при соответствующем подборе размера LCD дисплея) устанавливается в нишу Двери №2 (правая дверь) в освободившийся проем.
Состав работ:
- анализ существующего пространства для размещения модуля;
- обмер электронных компонентов;
- создание упрощенной 3D модели электронных  компонентов;
- разработка 3D проекта;
- разработка комплекта КД.
 Результатом работ по этапу является:
 - комплект КД для изготовления модуля.</t>
  </si>
  <si>
    <t>Проектирование металлоконструкции Двери №1 (дверь доступа к спиральной секции), с учетом удаления лифта и статического крепления 2-х корзин выдачи ТМЦ.
Состав работ:
- анализ конструкции существующей двер и узлов лифта;
- анализ существующих сенсоров и актуаторов Двери №1;
- разработка 3D проекта;
- разработка комплекта КД.
 Результатом работ по этапу является:
 - комплект КД для изготовления двери и корзин лифта.</t>
  </si>
  <si>
    <t>Проектирование 2-х моделей кронштейна крепления IP камер 1-го типа (видеофиксация выдачи ТМЦ)  2-го типа (свободный мониторинг).
Состав работ:
- анализ конструкции потенциальных точек крепления;
- анализ допустимых трас Ethernet кабеля;
- анализ типов крепления современных IP камер;
- создание упрощенной 3D модели компонентов;
- разработка 3D проекта;
- разработка комплекта КД.
 Результатом работ по этапу является:
 - комплект КД для изготовления кронштейнов.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</si>
</sst>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1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</font>
    <font>
      <sz val="10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7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horizontal="center" vertical="top" wrapText="1"/>
    </xf>
    <xf numFmtId="4" fontId="0" fillId="0" borderId="0" xfId="0" applyNumberFormat="1" applyAlignment="1">
      <alignment horizontal="center" vertical="top" wrapText="1"/>
    </xf>
    <xf numFmtId="4" fontId="0" fillId="0" borderId="0" xfId="0" applyNumberFormat="1"/>
    <xf numFmtId="0" fontId="0" fillId="0" borderId="0" xfId="0" applyAlignment="1">
      <alignment horizontal="center" vertical="top"/>
    </xf>
    <xf numFmtId="49" fontId="0" fillId="0" borderId="0" xfId="0" applyNumberFormat="1" applyAlignment="1">
      <alignment horizontal="center" vertical="top"/>
    </xf>
    <xf numFmtId="49" fontId="0" fillId="0" borderId="0" xfId="0" applyNumberFormat="1" applyAlignment="1">
      <alignment horizontal="center" vertical="top" wrapText="1"/>
    </xf>
    <xf numFmtId="0" fontId="4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top" wrapText="1"/>
    </xf>
    <xf numFmtId="1" fontId="0" fillId="0" borderId="1" xfId="0" applyNumberFormat="1" applyBorder="1" applyAlignment="1">
      <alignment horizontal="center" vertical="top" wrapText="1"/>
    </xf>
    <xf numFmtId="49" fontId="0" fillId="0" borderId="1" xfId="0" applyNumberFormat="1" applyBorder="1" applyAlignment="1">
      <alignment horizontal="center" vertical="top" wrapText="1"/>
    </xf>
    <xf numFmtId="49" fontId="0" fillId="0" borderId="1" xfId="0" applyNumberFormat="1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" fontId="0" fillId="0" borderId="1" xfId="0" applyNumberFormat="1" applyBorder="1" applyAlignment="1">
      <alignment horizontal="right" vertical="center" wrapText="1"/>
    </xf>
    <xf numFmtId="0" fontId="0" fillId="0" borderId="1" xfId="0" applyBorder="1" applyAlignment="1">
      <alignment horizontal="right" vertical="top" wrapText="1"/>
    </xf>
    <xf numFmtId="49" fontId="5" fillId="0" borderId="1" xfId="0" applyNumberFormat="1" applyFont="1" applyBorder="1" applyAlignment="1">
      <alignment horizontal="center" vertical="center" wrapText="1"/>
    </xf>
    <xf numFmtId="4" fontId="0" fillId="0" borderId="1" xfId="1" applyNumberFormat="1" applyFont="1" applyBorder="1" applyAlignment="1">
      <alignment horizontal="right" vertical="center" wrapText="1"/>
    </xf>
    <xf numFmtId="49" fontId="3" fillId="0" borderId="1" xfId="0" applyNumberFormat="1" applyFont="1" applyBorder="1" applyAlignment="1">
      <alignment horizontal="left" vertical="top" wrapText="1"/>
    </xf>
    <xf numFmtId="49" fontId="0" fillId="0" borderId="1" xfId="0" applyNumberFormat="1" applyBorder="1" applyAlignment="1">
      <alignment horizontal="center" vertical="center"/>
    </xf>
    <xf numFmtId="43" fontId="0" fillId="0" borderId="1" xfId="1" applyFont="1" applyBorder="1" applyAlignment="1">
      <alignment horizontal="left" vertical="center" wrapText="1"/>
    </xf>
    <xf numFmtId="2" fontId="0" fillId="0" borderId="1" xfId="0" applyNumberForma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0" fontId="9" fillId="0" borderId="0" xfId="0" applyFont="1"/>
    <xf numFmtId="0" fontId="0" fillId="0" borderId="1" xfId="0" applyBorder="1" applyAlignment="1">
      <alignment horizontal="left" vertical="top" wrapText="1"/>
    </xf>
    <xf numFmtId="4" fontId="2" fillId="0" borderId="0" xfId="0" applyNumberFormat="1" applyFont="1" applyAlignment="1">
      <alignment horizontal="center" vertical="top" wrapText="1"/>
    </xf>
    <xf numFmtId="0" fontId="0" fillId="0" borderId="2" xfId="0" applyBorder="1"/>
    <xf numFmtId="0" fontId="10" fillId="0" borderId="3" xfId="0" applyFont="1" applyBorder="1" applyAlignment="1">
      <alignment vertical="top" wrapText="1"/>
    </xf>
    <xf numFmtId="0" fontId="10" fillId="0" borderId="4" xfId="0" applyFont="1" applyBorder="1" applyAlignment="1">
      <alignment vertical="top" wrapText="1"/>
    </xf>
    <xf numFmtId="0" fontId="0" fillId="0" borderId="0" xfId="0" applyAlignment="1">
      <alignment vertical="top"/>
    </xf>
    <xf numFmtId="0" fontId="10" fillId="0" borderId="1" xfId="0" applyFont="1" applyBorder="1" applyAlignment="1">
      <alignment vertical="top" wrapText="1"/>
    </xf>
    <xf numFmtId="0" fontId="0" fillId="0" borderId="1" xfId="0" applyBorder="1"/>
    <xf numFmtId="1" fontId="0" fillId="0" borderId="2" xfId="0" applyNumberFormat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5" xfId="0" applyBorder="1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5" xfId="0" applyBorder="1" applyAlignment="1">
      <alignment horizontal="center" vertical="center" wrapText="1"/>
    </xf>
    <xf numFmtId="43" fontId="0" fillId="0" borderId="0" xfId="0" applyNumberFormat="1"/>
    <xf numFmtId="0" fontId="0" fillId="0" borderId="5" xfId="0" applyBorder="1" applyAlignment="1">
      <alignment horizontal="right" vertical="top" wrapText="1"/>
    </xf>
    <xf numFmtId="0" fontId="1" fillId="0" borderId="0" xfId="0" applyFont="1" applyAlignment="1">
      <alignment wrapText="1"/>
    </xf>
    <xf numFmtId="0" fontId="0" fillId="0" borderId="5" xfId="0" applyBorder="1" applyAlignment="1">
      <alignment horizontal="right" vertical="center" wrapText="1"/>
    </xf>
    <xf numFmtId="4" fontId="0" fillId="0" borderId="5" xfId="0" applyNumberFormat="1" applyBorder="1" applyAlignment="1">
      <alignment horizontal="right" vertical="center" wrapText="1"/>
    </xf>
  </cellXfs>
  <cellStyles count="3">
    <cellStyle name="Hyperlink" xfId="2" xr:uid="{5E131314-CB4A-4861-A483-75FD13BF36EC}"/>
    <cellStyle name="Обычный" xfId="0" builtinId="0"/>
    <cellStyle name="Финансовый" xfId="1" builtinId="3"/>
  </cellStyles>
  <dxfs count="74">
    <dxf>
      <alignment horizontal="righ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4" formatCode="#,##0.00"/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4" formatCode="#,##0.00"/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alignment horizontal="general" vertical="bottom" textRotation="0" wrapText="1" indent="0" justifyLastLine="0" shrinkToFit="0" readingOrder="0"/>
    </dxf>
    <dxf>
      <alignment horizontal="righ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5" formatCode="_-* #,##0.00_-;\-* #,##0.00_-;_-* &quot;-&quot;??_-;_-@_-"/>
    </dxf>
    <dxf>
      <alignment horizontal="general" vertical="bottom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alignment horizontal="center" vertical="top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numFmt numFmtId="0" formatCode="General"/>
    </dxf>
    <dxf>
      <alignment horizontal="center" vertical="top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</dxfs>
  <tableStyles count="0" defaultTableStyle="TableStyleMedium20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Иван Кукушкин" id="{71D6E47B-F36F-40F8-8AE2-326F63EFDDEE}" userId="3a809852355ebf2e" providerId="Windows Live"/>
</personList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" xr16:uid="{00000000-0016-0000-0100-000002000000}" autoFormatId="16" applyNumberFormats="0" applyBorderFormats="0" applyFontFormats="0" applyPatternFormats="0" applyAlignmentFormats="0" applyWidthHeightFormats="0">
  <queryTableRefresh nextId="5">
    <queryTableFields count="2">
      <queryTableField id="3" name="IDvendor" tableColumnId="1"/>
      <queryTableField id="2" name="BRAND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1CC4BF91-1B91-4F57-8902-3B2F0F49115D}" autoFormatId="16" applyNumberFormats="0" applyBorderFormats="0" applyFontFormats="0" applyPatternFormats="0" applyAlignmentFormats="0" applyWidthHeightFormats="0">
  <queryTableRefresh nextId="5">
    <queryTableFields count="2">
      <queryTableField id="3" name="IDsupplier" tableColumnId="1"/>
      <queryTableField id="2" name="COMPANY_LABEL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0BEB6A23-6F96-4B72-92F2-33A9A9710DEC}" autoFormatId="16" applyNumberFormats="0" applyBorderFormats="0" applyFontFormats="0" applyPatternFormats="0" applyAlignmentFormats="0" applyWidthHeightFormats="0">
  <queryTableRefresh nextId="5">
    <queryTableFields count="2">
      <queryTableField id="3" name="IDnum" tableColumnId="1"/>
      <queryTableField id="2" name="UNITS" tableColumnId="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6CC8564-C082-45D5-A12C-D27DF567A3FE}" name="TabSpecificationWork" displayName="TabSpecificationWork" ref="A1:AE11" totalsRowCount="1" headerRowDxfId="73" dataDxfId="72">
  <autoFilter ref="A1:AE10" xr:uid="{96CC8564-C082-45D5-A12C-D27DF567A3FE}">
    <filterColumn colId="2">
      <filters>
        <filter val="1"/>
      </filters>
    </filterColumn>
  </autoFilter>
  <tableColumns count="31">
    <tableColumn id="1" xr3:uid="{3C0F6EBF-BF3B-448E-A509-23E8475131F8}" name="№ п/п" totalsRowLabel="Итог" dataDxfId="71" totalsRowDxfId="30"/>
    <tableColumn id="2" xr3:uid="{0C6B2CF3-C438-47F6-9831-06CE2EF8D1FF}" name="№ ИСХ" dataDxfId="70" totalsRowDxfId="29"/>
    <tableColumn id="3" xr3:uid="{C09A2F0B-AE19-48FF-9473-DC789B8D58F3}" name="№ КОМПЛЕКТА" dataDxfId="69" totalsRowDxfId="28"/>
    <tableColumn id="4" xr3:uid="{682D79C0-1893-4541-8C43-21F87938C3CC}" name="№ ПОРЯДКОВЫЙ В КОМПЛЕКТЕ" dataDxfId="68" totalsRowDxfId="27"/>
    <tableColumn id="5" xr3:uid="{E1B7B4DD-EF42-443B-B39B-BE62E29D0108}" name="№ ПОЛНЫЙ" dataDxfId="67" totalsRowDxfId="26">
      <calculatedColumnFormula>TabSpecificationWork[[#This Row],[№ КОМПЛЕКТА]] &amp; "." &amp; TabSpecificationWork[[#This Row],[№ ПОРЯДКОВЫЙ В КОМПЛЕКТЕ]]</calculatedColumnFormula>
    </tableColumn>
    <tableColumn id="6" xr3:uid="{45F7CE3F-449D-460C-A5B7-0AEE91924D25}" name="ОПИСАНИЕ КОМПЛЕКТА" totalsRowFunction="count" dataDxfId="66" totalsRowDxfId="25"/>
    <tableColumn id="7" xr3:uid="{8F3C623E-E8A1-4A03-82DD-EDE16AF504FF}" name="НАИМЕНОВАНИЕ" dataDxfId="65" totalsRowDxfId="24"/>
    <tableColumn id="8" xr3:uid="{007F8717-0A07-48E0-A1EB-EAE6E572424A}" name="ОПИСАНИЕ/ХАРАКТЕРИСТИКИ" dataDxfId="64" totalsRowDxfId="23"/>
    <tableColumn id="9" xr3:uid="{8C0813ED-36A4-43E7-AAF6-F1FDA38367BC}" name="On-Off" dataDxfId="63" totalsRowDxfId="22"/>
    <tableColumn id="14" xr3:uid="{F1EF1C02-34FD-4F3C-BC9A-E1C518801019}" name="ПРИЗНАК ПОСТ ОБРАБОТКИ" dataDxfId="62" totalsRowDxfId="21"/>
    <tableColumn id="10" xr3:uid="{952E6978-CB3D-4347-AF28-0597AE730AA6}" name="БРЕНД" dataDxfId="61" totalsRowDxfId="20"/>
    <tableColumn id="11" xr3:uid="{8517C5C6-F784-4705-8190-245B5A55A021}" name="ПОСТАВЩИК" dataDxfId="60" totalsRowDxfId="19"/>
    <tableColumn id="12" xr3:uid="{355C2310-0BAB-4F45-849D-A3E72EDBF474}" name="АРТИКУЛ ПОСТАВЩИК" dataDxfId="59" totalsRowDxfId="18"/>
    <tableColumn id="13" xr3:uid="{DA2D9FEB-DBA5-4ABF-A4B3-FE69540B784B}" name="АРТИКУЛ МАС" dataDxfId="58" totalsRowDxfId="17"/>
    <tableColumn id="15" xr3:uid="{36B3F7BC-031D-4957-97DB-11542A696E35}" name="ЕД ИЗМ" dataDxfId="57" totalsRowDxfId="16"/>
    <tableColumn id="16" xr3:uid="{150CBF06-00C6-4806-8191-A4286EB093ED}" name="КОЛИЧЕСТВО В КОМПЛЕКТЕ" dataDxfId="56" totalsRowDxfId="15"/>
    <tableColumn id="17" xr3:uid="{13E5B512-5701-41EB-A201-0D252DB254A3}" name="КОМПЛЕКТОВ В ПОСТАВКЕ" dataDxfId="55" totalsRowDxfId="14">
      <calculatedColumnFormula>1</calculatedColumnFormula>
    </tableColumn>
    <tableColumn id="18" xr3:uid="{3720A801-BAAA-45D5-B24A-500112D1B996}" name="КОЛИЧЕСТВО ИТОГО" dataDxfId="54" totalsRowDxfId="13">
      <calculatedColumnFormula>TabSpecificationWork[[#This Row],[КОЛИЧЕСТВО В КОМПЛЕКТЕ]]*TabSpecificationWork[[#This Row],[КОМПЛЕКТОВ В ПОСТАВКЕ]]</calculatedColumnFormula>
    </tableColumn>
    <tableColumn id="19" xr3:uid="{715CE5CE-2BDF-46EA-B935-379C2289BCD3}" name="КОЛИЧЕСТВО У ПОСТАВ-КА" dataDxfId="53" totalsRowDxfId="12">
      <calculatedColumnFormula>1</calculatedColumnFormula>
    </tableColumn>
    <tableColumn id="20" xr3:uid="{32DA7A04-0981-4038-BB2D-6545CA3DBABE}" name="ЦЕНА ЗА ЕД. $ЗАКУП" totalsRowFunction="sum" dataDxfId="52" totalsRowDxfId="11" dataCellStyle="Финансовый"/>
    <tableColumn id="21" xr3:uid="{1FE1E287-5394-47DE-87AD-49C803C3C3E6}" name="СЕБЕСТОИМОСТЬ $ЗАКУП" dataDxfId="51" totalsRowDxfId="10">
      <calculatedColumnFormula>TabSpecificationWork[[#This Row],[КОЛИЧЕСТВО ИТОГО]]*TabSpecificationWork[[#This Row],[ЦЕНА ЗА ЕД. $ЗАКУП]]</calculatedColumnFormula>
    </tableColumn>
    <tableColumn id="23" xr3:uid="{76646C46-B6CC-44DD-9090-8179808EA8D3}" name="КОЭФФИЦИЕНТ НАЦЕНКИ" dataDxfId="50" totalsRowDxfId="9">
      <calculatedColumnFormula>2.5</calculatedColumnFormula>
    </tableColumn>
    <tableColumn id="24" xr3:uid="{81B7606B-1F30-444A-93F5-5929D526AEAD}" name="ЦЕНА ЗА ЕД. $РЕАЛИЗАЦИЯ" dataDxfId="49" totalsRowDxfId="8">
      <calculatedColumnFormula>TabSpecificationWork[[#This Row],[ЦЕНА ЗА ЕД. $ЗАКУП]]*TabSpecificationWork[[#This Row],[КОЭФФИЦИЕНТ НАЦЕНКИ]]</calculatedColumnFormula>
    </tableColumn>
    <tableColumn id="25" xr3:uid="{8FE6D3F9-0A66-456B-ABB8-B5BD18A8D852}" name="СТОИМОСТЬ $РЕАЛИЗАЦИЯ" dataDxfId="48" totalsRowDxfId="7">
      <calculatedColumnFormula>TabSpecificationWork[[#This Row],[КОЛИЧЕСТВО ИТОГО]]*TabSpecificationWork[[#This Row],[ЦЕНА ЗА ЕД. $РЕАЛИЗАЦИЯ]]</calculatedColumnFormula>
    </tableColumn>
    <tableColumn id="26" xr3:uid="{BAD42BB4-E47A-4099-BBB2-5920C2E27F1B}" name="ЦЕНА ЗА ЕД. $ИТОГ" dataDxfId="47" totalsRowDxfId="6">
      <calculatedColumnFormula>TabSpecificationWork[[#This Row],[ЦЕНА ЗА ЕД. $РЕАЛИЗАЦИЯ]]</calculatedColumnFormula>
    </tableColumn>
    <tableColumn id="27" xr3:uid="{840BF111-11DE-40E2-A09D-106A1A2A156F}" name="СТОИМОСТЬ $ИТОГ" totalsRowFunction="sum" dataDxfId="46" totalsRowDxfId="5">
      <calculatedColumnFormula>TabSpecificationWork[[#This Row],[СТОИМОСТЬ $РЕАЛИЗАЦИЯ]]</calculatedColumnFormula>
    </tableColumn>
    <tableColumn id="32" xr3:uid="{D0321F75-6C8A-4D12-AAD4-2064C4269A0E}" name="СРОК ПОСТАВКИ $ИТОГ" totalsRowFunction="sum" dataDxfId="45" totalsRowDxfId="4"/>
    <tableColumn id="28" xr3:uid="{C45474BF-4ECB-4598-A723-8708B6A2C169}" name="ТРЕБОВАНИЯ ИСХОДНЫЕ" dataDxfId="44" totalsRowDxfId="3"/>
    <tableColumn id="29" xr3:uid="{687F4ACE-FABB-4583-93FE-53CAFC212834}" name="ПРИМЕЧАНИЕ" dataDxfId="43" totalsRowDxfId="2"/>
    <tableColumn id="30" xr3:uid="{F9F82BA5-7A50-4367-B992-5D940187C15F}" name="ССЫЛКА" dataDxfId="42" totalsRowDxfId="1" dataCellStyle="Обычный"/>
    <tableColumn id="31" xr3:uid="{A23967F6-BEF1-4287-AAEA-EE4CBBA4C6E6}" name="ИЗОБРАЖЕНИЕ ТМЦ" totalsRowFunction="count" dataDxfId="41" totalsRowDxfId="0"/>
  </tableColumns>
  <tableStyleInfo name="TableStyleMedium2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Brand" displayName="TabBrand" ref="A1:B87" tableType="queryTable" headerRowDxfId="40">
  <autoFilter ref="A1:B87" xr:uid="{00000000-0009-0000-0100-000004000000}"/>
  <tableColumns count="2">
    <tableColumn id="1" xr3:uid="{DDEE8C3F-6896-4475-954C-D1DFF482AB43}" uniqueName="1" name="IDvendor" queryTableFieldId="3"/>
    <tableColumn id="2" xr3:uid="{00000000-0010-0000-0300-000002000000}" uniqueName="2" name="BRAND" queryTableFieldId="2" dataDxfId="39"/>
  </tableColumns>
  <tableStyleInfo name="TableStyleMedium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B1EBB6-4A38-42FE-89A7-BA0381F20161}" name="TabSupplier" displayName="TabSupplier" ref="A1:B48" tableType="queryTable" totalsRowShown="0" headerRowDxfId="38">
  <autoFilter ref="A1:B48" xr:uid="{7CB1EBB6-4A38-42FE-89A7-BA0381F20161}"/>
  <tableColumns count="2">
    <tableColumn id="1" xr3:uid="{021E7C93-FCDE-482D-86E7-5A5B554277CA}" uniqueName="1" name="IDsupplier" queryTableFieldId="3"/>
    <tableColumn id="2" xr3:uid="{CECFCF3E-4E2C-4803-99A7-E890AC59E860}" uniqueName="2" name="COMPANY_LABEL" queryTableFieldId="2" dataDxfId="37"/>
  </tableColumns>
  <tableStyleInfo name="TableStyleMedium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56726E9-F6F9-4F9A-AFB9-E1537DD6FF9E}" name="TabUnits" displayName="TabUnits" ref="A1:B5" tableType="queryTable" totalsRowShown="0" headerRowDxfId="36">
  <autoFilter ref="A1:B5" xr:uid="{156726E9-F6F9-4F9A-AFB9-E1537DD6FF9E}"/>
  <tableColumns count="2">
    <tableColumn id="1" xr3:uid="{145797B2-26F4-4AE8-BB5D-02F407BEB540}" uniqueName="1" name="IDnum" queryTableFieldId="3" dataDxfId="35"/>
    <tableColumn id="2" xr3:uid="{9F5CD4FA-93E1-4CFC-AD86-214180888531}" uniqueName="2" name="UNITS" queryTableFieldId="2" dataDxfId="34"/>
  </tableColumns>
  <tableStyleInfo name="TableStyleMedium2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E66463D-2A71-4697-80BD-94BD6D5B66CD}" name="TabСolumnDescriptions" displayName="TabСolumnDescriptions" ref="A1:C32" totalsRowShown="0" headerRowDxfId="33">
  <autoFilter ref="A1:C32" xr:uid="{5E66463D-2A71-4697-80BD-94BD6D5B66CD}"/>
  <tableColumns count="3">
    <tableColumn id="1" xr3:uid="{510F8E3D-F020-4D4F-A567-4B74838DEF10}" name="TABLE_NAME"/>
    <tableColumn id="2" xr3:uid="{E5472B71-72E4-4504-9F8C-1A7AF9B9615F}" name="СOLUMNS_NAME"/>
    <tableColumn id="3" xr3:uid="{678D956E-C846-4D9D-AFDE-1FA6BA20AE79}" name="СOLUMN_DESCRIPTIONS"/>
  </tableColumns>
  <tableStyleInfo name="TableStyleMedium2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F235176-0965-4F9F-AC02-3994F42818CE}" name="TabConfigJSON" displayName="TabConfigJSON" ref="A1:D2" insertRow="1" totalsRowShown="0">
  <autoFilter ref="A1:D2" xr:uid="{3F235176-0965-4F9F-AC02-3994F42818CE}"/>
  <tableColumns count="4">
    <tableColumn id="1" xr3:uid="{C3467041-EBA6-4A85-AC88-5FD6E0A0B08A}" name="IDnum"/>
    <tableColumn id="2" xr3:uid="{3D7C788C-1AB5-4C2E-A560-2CC240C3CC20}" name="IDconfig"/>
    <tableColumn id="3" xr3:uid="{936783E4-6EB8-481B-AB5A-A06864D219C0}" name="CONFIG_JSON"/>
    <tableColumn id="4" xr3:uid="{24F3A94E-0BF3-42E0-AA6F-3BA452442BED}" name="COMMENT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5-08-18T09:05:32.10" personId="{71D6E47B-F36F-40F8-8AE2-326F63EFDDEE}" id="{ED9B6CA6-986E-4566-99F0-4027F85C7816}">
    <text>Столбец хранит уникальный, для данной таблицы в данной Excel книге, целочисленные идентификаторы. Данный идентификатор не является основообразующим для работы BI скриптов, в качестве таковых выступают значения ключевого для данной таблицы столбца - 'IDconfig'. Тем не менее к столбцу предъявляются типовые требования целочисленных ID столбцов - значения должны быть целочисленным, начинаться строго с '1' и не иметь разрывов и перескоков в цепочке значений.</text>
  </threadedComment>
  <threadedComment ref="B1" dT="2025-08-18T09:01:09.84" personId="{71D6E47B-F36F-40F8-8AE2-326F63EFDDEE}" id="{69DE0156-E821-4715-BC82-AA52F0A41E1D}">
    <text>Столбец хранит уникальные, для данной таблицы в данной Excel книге, текстовые идентификаторы. По данному идентификатору внешний Power Query скрипт будет находить  требуемый конфигурационный JSON объект в столбце ‘CONFIG_JSON’ и обрабатывать таблицу в соответствии с ним. В качестве значений могут выступать любые текстовые фразы, в том числе состоящие из нескольких слов но не имеющие в своем составе пробелов, также необходимо соблюдать язык символов - только латиница.</text>
  </threadedComment>
  <threadedComment ref="C1" dT="2025-08-18T09:23:09.20" personId="{71D6E47B-F36F-40F8-8AE2-326F63EFDDEE}" id="{3BB71004-7B0D-4943-B3BF-051721C28ACD}">
    <text>Столбец хранит набор конфигурационных объектов, строго в формате JSON, в которых на языке 'HorizonBI' описано:
'ЧТО/КАК/В КАКОМ ОБЪЕМЕ' необходимо обработать объект Excel книги.</text>
  </threadedComment>
  <threadedComment ref="D1" dT="2025-08-18T09:10:04.85" personId="{71D6E47B-F36F-40F8-8AE2-326F63EFDDEE}" id="{E8CFB1EB-CB4D-4B14-9A0A-84DA5403CA61}">
    <text>Комментарий определяющий назначение конфигурационного JSON объекта.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C5CD1-948B-4828-924F-AA22AB83D7F9}">
  <dimension ref="A1:AE11"/>
  <sheetViews>
    <sheetView tabSelected="1" zoomScaleNormal="100" workbookViewId="0">
      <pane ySplit="1" topLeftCell="A4" activePane="bottomLeft" state="frozen"/>
      <selection pane="bottomLeft" activeCell="H10" sqref="H10"/>
    </sheetView>
  </sheetViews>
  <sheetFormatPr defaultRowHeight="14.4" outlineLevelCol="1" x14ac:dyDescent="0.3"/>
  <cols>
    <col min="1" max="1" width="8" customWidth="1"/>
    <col min="2" max="2" width="9" customWidth="1" outlineLevel="1"/>
    <col min="3" max="3" width="13.5546875" customWidth="1" outlineLevel="1"/>
    <col min="4" max="4" width="17" customWidth="1" outlineLevel="1"/>
    <col min="5" max="5" width="11.88671875" customWidth="1" outlineLevel="1"/>
    <col min="6" max="6" width="24.21875" customWidth="1" outlineLevel="1"/>
    <col min="7" max="7" width="36" style="31" customWidth="1"/>
    <col min="8" max="8" width="66.5546875" customWidth="1"/>
    <col min="9" max="9" width="9.44140625" bestFit="1" customWidth="1"/>
    <col min="10" max="10" width="15.109375" hidden="1" customWidth="1" outlineLevel="1"/>
    <col min="11" max="11" width="14.44140625" hidden="1" customWidth="1" outlineLevel="1"/>
    <col min="12" max="12" width="20.33203125" hidden="1" customWidth="1" outlineLevel="1"/>
    <col min="13" max="13" width="17.88671875" hidden="1" customWidth="1" outlineLevel="1"/>
    <col min="14" max="14" width="13.6640625" hidden="1" customWidth="1" outlineLevel="1"/>
    <col min="15" max="15" width="10.44140625" bestFit="1" customWidth="1" collapsed="1"/>
    <col min="16" max="16" width="15.6640625" customWidth="1" outlineLevel="1"/>
    <col min="17" max="17" width="16.6640625" customWidth="1" outlineLevel="1"/>
    <col min="18" max="18" width="14.33203125" customWidth="1"/>
    <col min="19" max="19" width="16.5546875" customWidth="1" outlineLevel="1"/>
    <col min="20" max="20" width="15.6640625" customWidth="1" outlineLevel="1"/>
    <col min="21" max="21" width="17.33203125" style="3" customWidth="1" outlineLevel="1"/>
    <col min="22" max="22" width="15.44140625" customWidth="1" outlineLevel="1"/>
    <col min="23" max="23" width="16.44140625" style="3" customWidth="1"/>
    <col min="24" max="24" width="17" style="3" customWidth="1"/>
    <col min="25" max="25" width="13.5546875" style="3" customWidth="1"/>
    <col min="26" max="27" width="17.109375" style="3" customWidth="1"/>
    <col min="28" max="28" width="15" hidden="1" customWidth="1" outlineLevel="1"/>
    <col min="29" max="29" width="29.109375" hidden="1" customWidth="1" outlineLevel="1"/>
    <col min="30" max="30" width="31.33203125" hidden="1" customWidth="1" outlineLevel="1"/>
    <col min="31" max="31" width="25.6640625" customWidth="1" collapsed="1"/>
  </cols>
  <sheetData>
    <row r="1" spans="1:31" ht="40.200000000000003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166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2" t="s">
        <v>19</v>
      </c>
      <c r="V1" s="1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7" t="s">
        <v>173</v>
      </c>
      <c r="AB1" s="1" t="s">
        <v>25</v>
      </c>
      <c r="AC1" s="1" t="s">
        <v>26</v>
      </c>
      <c r="AD1" s="1" t="s">
        <v>27</v>
      </c>
      <c r="AE1" s="1" t="s">
        <v>28</v>
      </c>
    </row>
    <row r="2" spans="1:31" ht="159" thickBot="1" x14ac:dyDescent="0.35">
      <c r="A2" s="10">
        <v>1</v>
      </c>
      <c r="B2" s="11"/>
      <c r="C2" s="10">
        <v>1</v>
      </c>
      <c r="D2" s="10">
        <v>1</v>
      </c>
      <c r="E2" s="12" t="str">
        <f>TabSpecificationWork[[#This Row],[№ КОМПЛЕКТА]] &amp; "." &amp; TabSpecificationWork[[#This Row],[№ ПОРЯДКОВЫЙ В КОМПЛЕКТЕ]]</f>
        <v>1.1</v>
      </c>
      <c r="F2" s="26" t="s">
        <v>174</v>
      </c>
      <c r="G2" s="29" t="s">
        <v>189</v>
      </c>
      <c r="H2" s="26" t="s">
        <v>175</v>
      </c>
      <c r="I2" s="14" t="s">
        <v>29</v>
      </c>
      <c r="J2" s="18" t="s">
        <v>167</v>
      </c>
      <c r="K2" s="15" t="s">
        <v>111</v>
      </c>
      <c r="L2" s="15" t="s">
        <v>111</v>
      </c>
      <c r="M2" s="15" t="s">
        <v>167</v>
      </c>
      <c r="N2" s="15" t="s">
        <v>167</v>
      </c>
      <c r="O2" s="14" t="s">
        <v>172</v>
      </c>
      <c r="P2" s="14">
        <f>1</f>
        <v>1</v>
      </c>
      <c r="Q2" s="14">
        <f>1</f>
        <v>1</v>
      </c>
      <c r="R2" s="14">
        <f>TabSpecificationWork[[#This Row],[КОЛИЧЕСТВО В КОМПЛЕКТЕ]]*TabSpecificationWork[[#This Row],[КОМПЛЕКТОВ В ПОСТАВКЕ]]</f>
        <v>1</v>
      </c>
      <c r="S2" s="14">
        <f>1</f>
        <v>1</v>
      </c>
      <c r="T2" s="22">
        <v>78000</v>
      </c>
      <c r="U2" s="16">
        <f>TabSpecificationWork[[#This Row],[КОЛИЧЕСТВО ИТОГО]]*TabSpecificationWork[[#This Row],[ЦЕНА ЗА ЕД. $ЗАКУП]]</f>
        <v>78000</v>
      </c>
      <c r="V2" s="23">
        <v>2.5</v>
      </c>
      <c r="W2" s="19">
        <f>TabSpecificationWork[[#This Row],[ЦЕНА ЗА ЕД. $ЗАКУП]]*TabSpecificationWork[[#This Row],[КОЭФФИЦИЕНТ НАЦЕНКИ]]</f>
        <v>195000</v>
      </c>
      <c r="X2" s="16">
        <f>TabSpecificationWork[[#This Row],[КОЛИЧЕСТВО ИТОГО]]*TabSpecificationWork[[#This Row],[ЦЕНА ЗА ЕД. $РЕАЛИЗАЦИЯ]]</f>
        <v>195000</v>
      </c>
      <c r="Y2" s="16">
        <f>TabSpecificationWork[[#This Row],[ЦЕНА ЗА ЕД. $РЕАЛИЗАЦИЯ]]</f>
        <v>195000</v>
      </c>
      <c r="Z2" s="16">
        <f>TabSpecificationWork[[#This Row],[СТОИМОСТЬ $РЕАЛИЗАЦИЯ]]</f>
        <v>195000</v>
      </c>
      <c r="AA2" s="24">
        <v>20</v>
      </c>
      <c r="AB2" s="24"/>
      <c r="AC2" s="20"/>
      <c r="AD2" s="21"/>
      <c r="AE2" s="17"/>
    </row>
    <row r="3" spans="1:31" ht="187.8" thickBot="1" x14ac:dyDescent="0.35">
      <c r="A3" s="10">
        <v>2</v>
      </c>
      <c r="B3" s="11"/>
      <c r="C3" s="10">
        <v>1</v>
      </c>
      <c r="D3" s="10">
        <v>2</v>
      </c>
      <c r="E3" s="12" t="str">
        <f>TabSpecificationWork[[#This Row],[№ КОМПЛЕКТА]] &amp; "." &amp; TabSpecificationWork[[#This Row],[№ ПОРЯДКОВЫЙ В КОМПЛЕКТЕ]]</f>
        <v>1.2</v>
      </c>
      <c r="F3" s="26" t="s">
        <v>174</v>
      </c>
      <c r="G3" s="30" t="s">
        <v>176</v>
      </c>
      <c r="H3" s="26" t="s">
        <v>190</v>
      </c>
      <c r="I3" s="14" t="s">
        <v>29</v>
      </c>
      <c r="J3" s="18" t="s">
        <v>167</v>
      </c>
      <c r="K3" s="15" t="s">
        <v>111</v>
      </c>
      <c r="L3" s="15" t="s">
        <v>111</v>
      </c>
      <c r="M3" s="15" t="s">
        <v>167</v>
      </c>
      <c r="N3" s="15" t="s">
        <v>167</v>
      </c>
      <c r="O3" s="14" t="s">
        <v>172</v>
      </c>
      <c r="P3" s="14">
        <f>1</f>
        <v>1</v>
      </c>
      <c r="Q3" s="14">
        <f>1</f>
        <v>1</v>
      </c>
      <c r="R3" s="14">
        <f>TabSpecificationWork[[#This Row],[КОЛИЧЕСТВО В КОМПЛЕКТЕ]]*TabSpecificationWork[[#This Row],[КОМПЛЕКТОВ В ПОСТАВКЕ]]</f>
        <v>1</v>
      </c>
      <c r="S3" s="14">
        <f>1</f>
        <v>1</v>
      </c>
      <c r="T3" s="22">
        <v>25000</v>
      </c>
      <c r="U3" s="16">
        <f>TabSpecificationWork[[#This Row],[КОЛИЧЕСТВО ИТОГО]]*TabSpecificationWork[[#This Row],[ЦЕНА ЗА ЕД. $ЗАКУП]]</f>
        <v>25000</v>
      </c>
      <c r="V3" s="23">
        <v>2</v>
      </c>
      <c r="W3" s="19">
        <f>TabSpecificationWork[[#This Row],[ЦЕНА ЗА ЕД. $ЗАКУП]]*TabSpecificationWork[[#This Row],[КОЭФФИЦИЕНТ НАЦЕНКИ]]</f>
        <v>50000</v>
      </c>
      <c r="X3" s="16">
        <f>TabSpecificationWork[[#This Row],[КОЛИЧЕСТВО ИТОГО]]*TabSpecificationWork[[#This Row],[ЦЕНА ЗА ЕД. $РЕАЛИЗАЦИЯ]]</f>
        <v>50000</v>
      </c>
      <c r="Y3" s="16">
        <f>TabSpecificationWork[[#This Row],[ЦЕНА ЗА ЕД. $РЕАЛИЗАЦИЯ]]</f>
        <v>50000</v>
      </c>
      <c r="Z3" s="16">
        <f>TabSpecificationWork[[#This Row],[СТОИМОСТЬ $РЕАЛИЗАЦИЯ]]</f>
        <v>50000</v>
      </c>
      <c r="AA3" s="24">
        <v>12</v>
      </c>
      <c r="AB3" s="24"/>
      <c r="AC3" s="20"/>
      <c r="AD3" s="21"/>
      <c r="AE3" s="17"/>
    </row>
    <row r="4" spans="1:31" ht="231" thickBot="1" x14ac:dyDescent="0.35">
      <c r="A4" s="10">
        <v>3</v>
      </c>
      <c r="B4" s="11"/>
      <c r="C4" s="10">
        <v>1</v>
      </c>
      <c r="D4" s="10">
        <v>3</v>
      </c>
      <c r="E4" s="12" t="str">
        <f>TabSpecificationWork[[#This Row],[№ КОМПЛЕКТА]] &amp; "." &amp; TabSpecificationWork[[#This Row],[№ ПОРЯДКОВЫЙ В КОМПЛЕКТЕ]]</f>
        <v>1.3</v>
      </c>
      <c r="F4" s="26" t="s">
        <v>174</v>
      </c>
      <c r="G4" s="30" t="s">
        <v>177</v>
      </c>
      <c r="H4" s="26" t="s">
        <v>191</v>
      </c>
      <c r="I4" s="14" t="s">
        <v>29</v>
      </c>
      <c r="J4" s="18" t="s">
        <v>167</v>
      </c>
      <c r="K4" s="15" t="s">
        <v>111</v>
      </c>
      <c r="L4" s="15" t="s">
        <v>111</v>
      </c>
      <c r="M4" s="15" t="s">
        <v>167</v>
      </c>
      <c r="N4" s="15" t="s">
        <v>167</v>
      </c>
      <c r="O4" s="14" t="s">
        <v>172</v>
      </c>
      <c r="P4" s="14">
        <f>1</f>
        <v>1</v>
      </c>
      <c r="Q4" s="14">
        <f>1</f>
        <v>1</v>
      </c>
      <c r="R4" s="14">
        <f>TabSpecificationWork[[#This Row],[КОЛИЧЕСТВО В КОМПЛЕКТЕ]]*TabSpecificationWork[[#This Row],[КОМПЛЕКТОВ В ПОСТАВКЕ]]</f>
        <v>1</v>
      </c>
      <c r="S4" s="14">
        <f>1</f>
        <v>1</v>
      </c>
      <c r="T4" s="22">
        <v>46000</v>
      </c>
      <c r="U4" s="16">
        <f>TabSpecificationWork[[#This Row],[КОЛИЧЕСТВО ИТОГО]]*TabSpecificationWork[[#This Row],[ЦЕНА ЗА ЕД. $ЗАКУП]]</f>
        <v>46000</v>
      </c>
      <c r="V4" s="23">
        <f t="shared" ref="V4" si="0">2.5</f>
        <v>2.5</v>
      </c>
      <c r="W4" s="19">
        <f>TabSpecificationWork[[#This Row],[ЦЕНА ЗА ЕД. $ЗАКУП]]*TabSpecificationWork[[#This Row],[КОЭФФИЦИЕНТ НАЦЕНКИ]]</f>
        <v>115000</v>
      </c>
      <c r="X4" s="16">
        <f>TabSpecificationWork[[#This Row],[КОЛИЧЕСТВО ИТОГО]]*TabSpecificationWork[[#This Row],[ЦЕНА ЗА ЕД. $РЕАЛИЗАЦИЯ]]</f>
        <v>115000</v>
      </c>
      <c r="Y4" s="16">
        <f>TabSpecificationWork[[#This Row],[ЦЕНА ЗА ЕД. $РЕАЛИЗАЦИЯ]]</f>
        <v>115000</v>
      </c>
      <c r="Z4" s="16">
        <f>TabSpecificationWork[[#This Row],[СТОИМОСТЬ $РЕАЛИЗАЦИЯ]]</f>
        <v>115000</v>
      </c>
      <c r="AA4" s="24">
        <v>14</v>
      </c>
      <c r="AB4" s="24"/>
      <c r="AC4" s="20"/>
      <c r="AD4" s="21"/>
      <c r="AE4" s="17"/>
    </row>
    <row r="5" spans="1:31" ht="144.6" thickBot="1" x14ac:dyDescent="0.35">
      <c r="A5" s="10">
        <v>4</v>
      </c>
      <c r="B5" s="11"/>
      <c r="C5" s="10">
        <v>1</v>
      </c>
      <c r="D5" s="10">
        <v>4</v>
      </c>
      <c r="E5" s="12" t="str">
        <f>TabSpecificationWork[[#This Row],[№ КОМПЛЕКТА]] &amp; "." &amp; TabSpecificationWork[[#This Row],[№ ПОРЯДКОВЫЙ В КОМПЛЕКТЕ]]</f>
        <v>1.4</v>
      </c>
      <c r="F5" s="26" t="s">
        <v>174</v>
      </c>
      <c r="G5" s="32" t="s">
        <v>180</v>
      </c>
      <c r="H5" s="26" t="s">
        <v>178</v>
      </c>
      <c r="I5" s="14" t="s">
        <v>29</v>
      </c>
      <c r="J5" s="18" t="s">
        <v>167</v>
      </c>
      <c r="K5" s="15" t="s">
        <v>111</v>
      </c>
      <c r="L5" s="15" t="s">
        <v>111</v>
      </c>
      <c r="M5" s="15" t="s">
        <v>167</v>
      </c>
      <c r="N5" s="15" t="s">
        <v>167</v>
      </c>
      <c r="O5" s="14" t="s">
        <v>172</v>
      </c>
      <c r="P5" s="14">
        <f>1</f>
        <v>1</v>
      </c>
      <c r="Q5" s="14">
        <f>1</f>
        <v>1</v>
      </c>
      <c r="R5" s="14">
        <f>TabSpecificationWork[[#This Row],[КОЛИЧЕСТВО В КОМПЛЕКТЕ]]*TabSpecificationWork[[#This Row],[КОМПЛЕКТОВ В ПОСТАВКЕ]]</f>
        <v>1</v>
      </c>
      <c r="S5" s="14">
        <f>1</f>
        <v>1</v>
      </c>
      <c r="T5" s="22">
        <v>50000</v>
      </c>
      <c r="U5" s="16">
        <f>TabSpecificationWork[[#This Row],[КОЛИЧЕСТВО ИТОГО]]*TabSpecificationWork[[#This Row],[ЦЕНА ЗА ЕД. $ЗАКУП]]</f>
        <v>50000</v>
      </c>
      <c r="V5" s="23">
        <f>2.5</f>
        <v>2.5</v>
      </c>
      <c r="W5" s="19">
        <f>TabSpecificationWork[[#This Row],[ЦЕНА ЗА ЕД. $ЗАКУП]]*TabSpecificationWork[[#This Row],[КОЭФФИЦИЕНТ НАЦЕНКИ]]</f>
        <v>125000</v>
      </c>
      <c r="X5" s="16">
        <f>TabSpecificationWork[[#This Row],[КОЛИЧЕСТВО ИТОГО]]*TabSpecificationWork[[#This Row],[ЦЕНА ЗА ЕД. $РЕАЛИЗАЦИЯ]]</f>
        <v>125000</v>
      </c>
      <c r="Y5" s="16">
        <f>TabSpecificationWork[[#This Row],[ЦЕНА ЗА ЕД. $РЕАЛИЗАЦИЯ]]</f>
        <v>125000</v>
      </c>
      <c r="Z5" s="16">
        <f>TabSpecificationWork[[#This Row],[СТОИМОСТЬ $РЕАЛИЗАЦИЯ]]</f>
        <v>125000</v>
      </c>
      <c r="AA5" s="24">
        <v>12</v>
      </c>
      <c r="AB5" s="24"/>
      <c r="AC5" s="20"/>
      <c r="AD5" s="33"/>
      <c r="AE5" s="17"/>
    </row>
    <row r="6" spans="1:31" ht="159" thickBot="1" x14ac:dyDescent="0.35">
      <c r="A6" s="10">
        <v>5</v>
      </c>
      <c r="B6" s="11"/>
      <c r="C6" s="10">
        <v>1</v>
      </c>
      <c r="D6" s="10">
        <v>5</v>
      </c>
      <c r="E6" s="12" t="str">
        <f>TabSpecificationWork[[#This Row],[№ КОМПЛЕКТА]] &amp; "." &amp; TabSpecificationWork[[#This Row],[№ ПОРЯДКОВЫЙ В КОМПЛЕКТЕ]]</f>
        <v>1.5</v>
      </c>
      <c r="F6" s="26" t="s">
        <v>174</v>
      </c>
      <c r="G6" s="29" t="s">
        <v>179</v>
      </c>
      <c r="H6" s="26" t="s">
        <v>184</v>
      </c>
      <c r="I6" s="14" t="s">
        <v>29</v>
      </c>
      <c r="J6" s="18" t="s">
        <v>167</v>
      </c>
      <c r="K6" s="15" t="s">
        <v>111</v>
      </c>
      <c r="L6" s="15" t="s">
        <v>111</v>
      </c>
      <c r="M6" s="15" t="s">
        <v>167</v>
      </c>
      <c r="N6" s="15" t="s">
        <v>167</v>
      </c>
      <c r="O6" s="14" t="s">
        <v>172</v>
      </c>
      <c r="P6" s="14">
        <f>1</f>
        <v>1</v>
      </c>
      <c r="Q6" s="14">
        <f>1</f>
        <v>1</v>
      </c>
      <c r="R6" s="14">
        <f>TabSpecificationWork[[#This Row],[КОЛИЧЕСТВО В КОМПЛЕКТЕ]]*TabSpecificationWork[[#This Row],[КОМПЛЕКТОВ В ПОСТАВКЕ]]</f>
        <v>1</v>
      </c>
      <c r="S6" s="14">
        <f>1</f>
        <v>1</v>
      </c>
      <c r="T6" s="22">
        <v>100000</v>
      </c>
      <c r="U6" s="16">
        <f>TabSpecificationWork[[#This Row],[КОЛИЧЕСТВО ИТОГО]]*TabSpecificationWork[[#This Row],[ЦЕНА ЗА ЕД. $ЗАКУП]]</f>
        <v>100000</v>
      </c>
      <c r="V6" s="23">
        <v>2</v>
      </c>
      <c r="W6" s="19">
        <f>TabSpecificationWork[[#This Row],[ЦЕНА ЗА ЕД. $ЗАКУП]]*TabSpecificationWork[[#This Row],[КОЭФФИЦИЕНТ НАЦЕНКИ]]</f>
        <v>200000</v>
      </c>
      <c r="X6" s="16">
        <f>TabSpecificationWork[[#This Row],[КОЛИЧЕСТВО ИТОГО]]*TabSpecificationWork[[#This Row],[ЦЕНА ЗА ЕД. $РЕАЛИЗАЦИЯ]]</f>
        <v>200000</v>
      </c>
      <c r="Y6" s="16">
        <f>TabSpecificationWork[[#This Row],[ЦЕНА ЗА ЕД. $РЕАЛИЗАЦИЯ]]</f>
        <v>200000</v>
      </c>
      <c r="Z6" s="16">
        <f>TabSpecificationWork[[#This Row],[СТОИМОСТЬ $РЕАЛИЗАЦИЯ]]</f>
        <v>200000</v>
      </c>
      <c r="AA6" s="24">
        <v>14</v>
      </c>
      <c r="AB6" s="24"/>
      <c r="AC6" s="13"/>
      <c r="AD6" s="21"/>
      <c r="AE6" s="17"/>
    </row>
    <row r="7" spans="1:31" ht="187.8" hidden="1" thickBot="1" x14ac:dyDescent="0.35">
      <c r="A7" s="10">
        <v>6</v>
      </c>
      <c r="B7" s="11"/>
      <c r="C7" s="10">
        <v>2</v>
      </c>
      <c r="D7" s="10">
        <v>1</v>
      </c>
      <c r="E7" s="12" t="str">
        <f>TabSpecificationWork[[#This Row],[№ КОМПЛЕКТА]] &amp; "." &amp; TabSpecificationWork[[#This Row],[№ ПОРЯДКОВЫЙ В КОМПЛЕКТЕ]]</f>
        <v>2.1</v>
      </c>
      <c r="F7" s="26" t="s">
        <v>174</v>
      </c>
      <c r="G7" s="29" t="s">
        <v>182</v>
      </c>
      <c r="H7" s="26" t="s">
        <v>181</v>
      </c>
      <c r="I7" s="14" t="s">
        <v>29</v>
      </c>
      <c r="J7" s="18" t="s">
        <v>167</v>
      </c>
      <c r="K7" s="15" t="s">
        <v>111</v>
      </c>
      <c r="L7" s="15" t="s">
        <v>111</v>
      </c>
      <c r="M7" s="15" t="s">
        <v>167</v>
      </c>
      <c r="N7" s="15" t="s">
        <v>167</v>
      </c>
      <c r="O7" s="14" t="s">
        <v>172</v>
      </c>
      <c r="P7" s="14">
        <f>1</f>
        <v>1</v>
      </c>
      <c r="Q7" s="14">
        <f>1</f>
        <v>1</v>
      </c>
      <c r="R7" s="14">
        <f>TabSpecificationWork[[#This Row],[КОЛИЧЕСТВО В КОМПЛЕКТЕ]]*TabSpecificationWork[[#This Row],[КОМПЛЕКТОВ В ПОСТАВКЕ]]</f>
        <v>1</v>
      </c>
      <c r="S7" s="14">
        <f>1</f>
        <v>1</v>
      </c>
      <c r="T7" s="22">
        <v>100000</v>
      </c>
      <c r="U7" s="16">
        <f>TabSpecificationWork[[#This Row],[КОЛИЧЕСТВО ИТОГО]]*TabSpecificationWork[[#This Row],[ЦЕНА ЗА ЕД. $ЗАКУП]]</f>
        <v>100000</v>
      </c>
      <c r="V7" s="23">
        <v>3</v>
      </c>
      <c r="W7" s="19">
        <f>TabSpecificationWork[[#This Row],[ЦЕНА ЗА ЕД. $ЗАКУП]]*TabSpecificationWork[[#This Row],[КОЭФФИЦИЕНТ НАЦЕНКИ]]</f>
        <v>300000</v>
      </c>
      <c r="X7" s="16">
        <f>TabSpecificationWork[[#This Row],[КОЛИЧЕСТВО ИТОГО]]*TabSpecificationWork[[#This Row],[ЦЕНА ЗА ЕД. $РЕАЛИЗАЦИЯ]]</f>
        <v>300000</v>
      </c>
      <c r="Y7" s="16">
        <f>TabSpecificationWork[[#This Row],[ЦЕНА ЗА ЕД. $РЕАЛИЗАЦИЯ]]</f>
        <v>300000</v>
      </c>
      <c r="Z7" s="16">
        <f>TabSpecificationWork[[#This Row],[СТОИМОСТЬ $РЕАЛИЗАЦИЯ]]</f>
        <v>300000</v>
      </c>
      <c r="AA7" s="24">
        <v>30</v>
      </c>
      <c r="AB7" s="34"/>
      <c r="AC7" s="28"/>
      <c r="AD7" s="28"/>
      <c r="AE7" s="28"/>
    </row>
    <row r="8" spans="1:31" ht="187.8" thickBot="1" x14ac:dyDescent="0.35">
      <c r="A8" s="10">
        <v>7</v>
      </c>
      <c r="B8" s="11"/>
      <c r="C8" s="10">
        <v>1</v>
      </c>
      <c r="D8" s="10">
        <v>6</v>
      </c>
      <c r="E8" s="12" t="str">
        <f>TabSpecificationWork[[#This Row],[№ КОМПЛЕКТА]] &amp; "." &amp; TabSpecificationWork[[#This Row],[№ ПОРЯДКОВЫЙ В КОМПЛЕКТЕ]]</f>
        <v>1.6</v>
      </c>
      <c r="F8" s="26" t="s">
        <v>174</v>
      </c>
      <c r="G8" s="29" t="s">
        <v>183</v>
      </c>
      <c r="H8" s="26" t="s">
        <v>186</v>
      </c>
      <c r="I8" s="14" t="s">
        <v>29</v>
      </c>
      <c r="J8" s="18" t="s">
        <v>167</v>
      </c>
      <c r="K8" s="15" t="s">
        <v>111</v>
      </c>
      <c r="L8" s="15" t="s">
        <v>111</v>
      </c>
      <c r="M8" s="15" t="s">
        <v>167</v>
      </c>
      <c r="N8" s="15" t="s">
        <v>167</v>
      </c>
      <c r="O8" s="14" t="s">
        <v>172</v>
      </c>
      <c r="P8" s="14">
        <f>1</f>
        <v>1</v>
      </c>
      <c r="Q8" s="14">
        <f>1</f>
        <v>1</v>
      </c>
      <c r="R8" s="14">
        <f>TabSpecificationWork[[#This Row],[КОЛИЧЕСТВО В КОМПЛЕКТЕ]]*TabSpecificationWork[[#This Row],[КОМПЛЕКТОВ В ПОСТАВКЕ]]</f>
        <v>1</v>
      </c>
      <c r="S8" s="14">
        <f>1</f>
        <v>1</v>
      </c>
      <c r="T8" s="22">
        <v>25000</v>
      </c>
      <c r="U8" s="16">
        <f>TabSpecificationWork[[#This Row],[КОЛИЧЕСТВО ИТОГО]]*TabSpecificationWork[[#This Row],[ЦЕНА ЗА ЕД. $ЗАКУП]]</f>
        <v>25000</v>
      </c>
      <c r="V8" s="23">
        <f>1.5</f>
        <v>1.5</v>
      </c>
      <c r="W8" s="19">
        <f>TabSpecificationWork[[#This Row],[ЦЕНА ЗА ЕД. $ЗАКУП]]*TabSpecificationWork[[#This Row],[КОЭФФИЦИЕНТ НАЦЕНКИ]]</f>
        <v>37500</v>
      </c>
      <c r="X8" s="16">
        <f>TabSpecificationWork[[#This Row],[КОЛИЧЕСТВО ИТОГО]]*TabSpecificationWork[[#This Row],[ЦЕНА ЗА ЕД. $РЕАЛИЗАЦИЯ]]</f>
        <v>37500</v>
      </c>
      <c r="Y8" s="16">
        <f>TabSpecificationWork[[#This Row],[ЦЕНА ЗА ЕД. $РЕАЛИЗАЦИЯ]]</f>
        <v>37500</v>
      </c>
      <c r="Z8" s="16">
        <f>TabSpecificationWork[[#This Row],[СТОИМОСТЬ $РЕАЛИЗАЦИЯ]]</f>
        <v>37500</v>
      </c>
      <c r="AA8" s="24">
        <v>8</v>
      </c>
      <c r="AB8" s="34"/>
      <c r="AC8" s="28"/>
      <c r="AD8" s="28"/>
      <c r="AE8" s="28"/>
    </row>
    <row r="9" spans="1:31" ht="173.4" hidden="1" thickBot="1" x14ac:dyDescent="0.35">
      <c r="A9" s="10">
        <v>8</v>
      </c>
      <c r="B9" s="11"/>
      <c r="C9" s="10">
        <v>3</v>
      </c>
      <c r="D9" s="10">
        <v>1</v>
      </c>
      <c r="E9" s="12" t="str">
        <f>TabSpecificationWork[[#This Row],[№ КОМПЛЕКТА]] &amp; "." &amp; TabSpecificationWork[[#This Row],[№ ПОРЯДКОВЫЙ В КОМПЛЕКТЕ]]</f>
        <v>3.1</v>
      </c>
      <c r="F9" s="26" t="s">
        <v>174</v>
      </c>
      <c r="G9" s="29" t="s">
        <v>185</v>
      </c>
      <c r="H9" s="26" t="s">
        <v>193</v>
      </c>
      <c r="I9" s="14" t="s">
        <v>29</v>
      </c>
      <c r="J9" s="18" t="s">
        <v>167</v>
      </c>
      <c r="K9" s="15" t="s">
        <v>111</v>
      </c>
      <c r="L9" s="15" t="s">
        <v>111</v>
      </c>
      <c r="M9" s="15" t="s">
        <v>167</v>
      </c>
      <c r="N9" s="15" t="s">
        <v>167</v>
      </c>
      <c r="O9" s="14" t="s">
        <v>172</v>
      </c>
      <c r="P9" s="14">
        <f>1</f>
        <v>1</v>
      </c>
      <c r="Q9" s="14">
        <f>1</f>
        <v>1</v>
      </c>
      <c r="R9" s="14">
        <f>TabSpecificationWork[[#This Row],[КОЛИЧЕСТВО В КОМПЛЕКТЕ]]*TabSpecificationWork[[#This Row],[КОМПЛЕКТОВ В ПОСТАВКЕ]]</f>
        <v>1</v>
      </c>
      <c r="S9" s="14">
        <f>1</f>
        <v>1</v>
      </c>
      <c r="T9" s="22">
        <v>25000</v>
      </c>
      <c r="U9" s="16">
        <f>TabSpecificationWork[[#This Row],[КОЛИЧЕСТВО ИТОГО]]*TabSpecificationWork[[#This Row],[ЦЕНА ЗА ЕД. $ЗАКУП]]</f>
        <v>25000</v>
      </c>
      <c r="V9" s="23">
        <f>2.5</f>
        <v>2.5</v>
      </c>
      <c r="W9" s="19">
        <f>TabSpecificationWork[[#This Row],[ЦЕНА ЗА ЕД. $ЗАКУП]]*TabSpecificationWork[[#This Row],[КОЭФФИЦИЕНТ НАЦЕНКИ]]</f>
        <v>62500</v>
      </c>
      <c r="X9" s="16">
        <f>TabSpecificationWork[[#This Row],[КОЛИЧЕСТВО ИТОГО]]*TabSpecificationWork[[#This Row],[ЦЕНА ЗА ЕД. $РЕАЛИЗАЦИЯ]]</f>
        <v>62500</v>
      </c>
      <c r="Y9" s="16">
        <f>TabSpecificationWork[[#This Row],[ЦЕНА ЗА ЕД. $РЕАЛИЗАЦИЯ]]</f>
        <v>62500</v>
      </c>
      <c r="Z9" s="16">
        <f>TabSpecificationWork[[#This Row],[СТОИМОСТЬ $РЕАЛИЗАЦИЯ]]</f>
        <v>62500</v>
      </c>
      <c r="AA9" s="24">
        <v>10</v>
      </c>
      <c r="AB9" s="34"/>
      <c r="AC9" s="28"/>
      <c r="AD9" s="28"/>
      <c r="AE9" s="28"/>
    </row>
    <row r="10" spans="1:31" ht="159" hidden="1" thickBot="1" x14ac:dyDescent="0.35">
      <c r="A10" s="10">
        <v>9</v>
      </c>
      <c r="B10" s="11"/>
      <c r="C10" s="10">
        <v>4</v>
      </c>
      <c r="D10" s="10">
        <v>1</v>
      </c>
      <c r="E10" s="12" t="str">
        <f>TabSpecificationWork[[#This Row],[№ КОМПЛЕКТА]] &amp; "." &amp; TabSpecificationWork[[#This Row],[№ ПОРЯДКОВЫЙ В КОМПЛЕКТЕ]]</f>
        <v>4.1</v>
      </c>
      <c r="F10" s="26" t="s">
        <v>174</v>
      </c>
      <c r="G10" s="29" t="s">
        <v>187</v>
      </c>
      <c r="H10" s="26" t="s">
        <v>192</v>
      </c>
      <c r="I10" s="14" t="s">
        <v>29</v>
      </c>
      <c r="J10" s="18" t="s">
        <v>167</v>
      </c>
      <c r="K10" s="15" t="s">
        <v>111</v>
      </c>
      <c r="L10" s="15" t="s">
        <v>111</v>
      </c>
      <c r="M10" s="15" t="s">
        <v>167</v>
      </c>
      <c r="N10" s="15" t="s">
        <v>167</v>
      </c>
      <c r="O10" s="14" t="s">
        <v>172</v>
      </c>
      <c r="P10" s="14">
        <f>1</f>
        <v>1</v>
      </c>
      <c r="Q10" s="14">
        <f>1</f>
        <v>1</v>
      </c>
      <c r="R10" s="14">
        <f>TabSpecificationWork[[#This Row],[КОЛИЧЕСТВО В КОМПЛЕКТЕ]]*TabSpecificationWork[[#This Row],[КОМПЛЕКТОВ В ПОСТАВКЕ]]</f>
        <v>1</v>
      </c>
      <c r="S10" s="14">
        <f>1</f>
        <v>1</v>
      </c>
      <c r="T10" s="22">
        <v>100000</v>
      </c>
      <c r="U10" s="16">
        <f>TabSpecificationWork[[#This Row],[КОЛИЧЕСТВО ИТОГО]]*TabSpecificationWork[[#This Row],[ЦЕНА ЗА ЕД. $ЗАКУП]]</f>
        <v>100000</v>
      </c>
      <c r="V10" s="23">
        <f>2.5</f>
        <v>2.5</v>
      </c>
      <c r="W10" s="19">
        <f>TabSpecificationWork[[#This Row],[ЦЕНА ЗА ЕД. $ЗАКУП]]*TabSpecificationWork[[#This Row],[КОЭФФИЦИЕНТ НАЦЕНКИ]]</f>
        <v>250000</v>
      </c>
      <c r="X10" s="16">
        <f>TabSpecificationWork[[#This Row],[КОЛИЧЕСТВО ИТОГО]]*TabSpecificationWork[[#This Row],[ЦЕНА ЗА ЕД. $РЕАЛИЗАЦИЯ]]</f>
        <v>250000</v>
      </c>
      <c r="Y10" s="16">
        <f>TabSpecificationWork[[#This Row],[ЦЕНА ЗА ЕД. $РЕАЛИЗАЦИЯ]]</f>
        <v>250000</v>
      </c>
      <c r="Z10" s="16">
        <f>TabSpecificationWork[[#This Row],[СТОИМОСТЬ $РЕАЛИЗАЦИЯ]]</f>
        <v>250000</v>
      </c>
      <c r="AA10" s="24">
        <v>20</v>
      </c>
      <c r="AB10" s="34"/>
      <c r="AC10" s="28"/>
      <c r="AD10" s="28"/>
      <c r="AE10" s="28"/>
    </row>
    <row r="11" spans="1:31" x14ac:dyDescent="0.3">
      <c r="A11" s="35" t="s">
        <v>188</v>
      </c>
      <c r="B11" s="35"/>
      <c r="C11" s="35"/>
      <c r="D11" s="35"/>
      <c r="E11" s="36"/>
      <c r="F11" s="35">
        <f>SUBTOTAL(103,TabSpecificationWork[ОПИСАНИЕ КОМПЛЕКТА])</f>
        <v>6</v>
      </c>
      <c r="G11" s="37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8"/>
      <c r="S11" s="35"/>
      <c r="T11" s="39">
        <f>SUBTOTAL(109,TabSpecificationWork[ЦЕНА ЗА ЕД. $ЗАКУП])</f>
        <v>324000</v>
      </c>
      <c r="U11" s="40"/>
      <c r="V11" s="41"/>
      <c r="W11" s="42"/>
      <c r="X11" s="42"/>
      <c r="Y11" s="42"/>
      <c r="Z11" s="43">
        <f>SUBTOTAL(109,TabSpecificationWork[СТОИМОСТЬ $ИТОГ])</f>
        <v>722500</v>
      </c>
      <c r="AA11" s="43">
        <f>SUBTOTAL(109,TabSpecificationWork[СРОК ПОСТАВКИ $ИТОГ])</f>
        <v>80</v>
      </c>
      <c r="AB11" s="37"/>
      <c r="AC11" s="37"/>
      <c r="AD11" s="37"/>
      <c r="AE11" s="40">
        <f>SUBTOTAL(103,TabSpecificationWork[ИЗОБРАЖЕНИЕ ТМЦ])</f>
        <v>0</v>
      </c>
    </row>
  </sheetData>
  <phoneticPr fontId="6" type="noConversion"/>
  <conditionalFormatting sqref="J2:J10">
    <cfRule type="expression" dxfId="32" priority="3">
      <formula>IF($J2="delete",1,0)</formula>
    </cfRule>
    <cfRule type="expression" dxfId="31" priority="4">
      <formula>IF($J2="modify",1,0)</formula>
    </cfRule>
  </conditionalFormatting>
  <dataValidations count="14">
    <dataValidation operator="greaterThan" showInputMessage="1" showErrorMessage="1" sqref="AD2:AE10 AA2:AB10" xr:uid="{F659E4D5-3F3D-4AF4-9342-738D3445D024}"/>
    <dataValidation type="decimal" operator="greaterThanOrEqual" showInputMessage="1" showErrorMessage="1" sqref="X2:Z10 T2:V10" xr:uid="{B941C71D-8137-47DD-A56A-7073A17BE7E2}">
      <formula1>1</formula1>
    </dataValidation>
    <dataValidation type="list" allowBlank="1" showInputMessage="1" showErrorMessage="1" sqref="O2:O10" xr:uid="{9D8CC6B9-FC9A-4D55-981E-0622F2D5B657}">
      <formula1>INDIRECT("TabUnits[UNITS]")</formula1>
    </dataValidation>
    <dataValidation type="list" showInputMessage="1" showErrorMessage="1" sqref="J2:J10" xr:uid="{ACE5DBB3-F043-4B4D-B97D-B723839C0EE6}">
      <formula1>"none,modify,delete,"</formula1>
    </dataValidation>
    <dataValidation type="list" allowBlank="1" showInputMessage="1" showErrorMessage="1" sqref="I2:I10" xr:uid="{839E9200-27EE-44BD-9AFD-5E35CF6FD3B3}">
      <formula1>"on,off"</formula1>
    </dataValidation>
    <dataValidation type="whole" operator="greaterThan" showInputMessage="1" showErrorMessage="1" sqref="S2:S10 C2:D10 A2:A10" xr:uid="{84307A19-AC2D-48F5-80E9-21A9BAF1F88E}">
      <formula1>0</formula1>
    </dataValidation>
    <dataValidation type="whole" operator="greaterThanOrEqual" showInputMessage="1" showErrorMessage="1" sqref="P2:R10" xr:uid="{7D192C3D-0932-4696-AB2B-670105C39754}">
      <formula1>1</formula1>
    </dataValidation>
    <dataValidation operator="greaterThanOrEqual" showInputMessage="1" showErrorMessage="1" sqref="W1:W10" xr:uid="{8F4D4354-14B1-4E21-BC2D-409D6190CD34}"/>
    <dataValidation type="list" allowBlank="1" showInputMessage="1" showErrorMessage="1" sqref="K2:K10" xr:uid="{A112FBB5-A857-422C-BD07-D421B35D2DE1}">
      <formula1>INDIRECT("TabBrand[BRAND]")</formula1>
    </dataValidation>
    <dataValidation type="list" allowBlank="1" showInputMessage="1" showErrorMessage="1" sqref="L2:L10" xr:uid="{02900867-3AEC-4E3C-9BDF-006AEAB83070}">
      <formula1>INDIRECT("TabSupplier[COMPANY_LABEL]")</formula1>
    </dataValidation>
    <dataValidation type="textLength" operator="greaterThan" showInputMessage="1" showErrorMessage="1" sqref="E2:E10" xr:uid="{733DB96D-AE80-4F28-BA05-D366B59EB134}">
      <formula1>2</formula1>
    </dataValidation>
    <dataValidation type="textLength" showInputMessage="1" showErrorMessage="1" sqref="F2:F10" xr:uid="{B38466C4-E261-499B-A5FF-2381B7724A73}">
      <formula1>5</formula1>
      <formula2>150</formula2>
    </dataValidation>
    <dataValidation showInputMessage="1" showErrorMessage="1" sqref="H2:H10" xr:uid="{7F1F8AB2-B9EA-493A-BDA5-C9A84FB0DC43}"/>
    <dataValidation type="whole" operator="greaterThanOrEqual" allowBlank="1" showInputMessage="1" showErrorMessage="1" sqref="B1:B10" xr:uid="{4AD436D4-2A86-4EC1-9200-A315405D1855}">
      <formula1>0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7"/>
  <sheetViews>
    <sheetView topLeftCell="A76" workbookViewId="0">
      <selection activeCell="B35" sqref="B35"/>
    </sheetView>
  </sheetViews>
  <sheetFormatPr defaultRowHeight="14.4" x14ac:dyDescent="0.3"/>
  <cols>
    <col min="1" max="1" width="13.33203125" bestFit="1" customWidth="1"/>
    <col min="2" max="2" width="21.109375" bestFit="1" customWidth="1"/>
    <col min="3" max="3" width="22.6640625" bestFit="1" customWidth="1"/>
    <col min="4" max="4" width="11" customWidth="1"/>
    <col min="5" max="5" width="9.44140625" customWidth="1"/>
    <col min="6" max="6" width="7.88671875" customWidth="1"/>
    <col min="7" max="7" width="21.6640625" customWidth="1"/>
    <col min="8" max="8" width="14.5546875" customWidth="1"/>
  </cols>
  <sheetData>
    <row r="1" spans="1:2" x14ac:dyDescent="0.3">
      <c r="A1" s="4" t="s">
        <v>170</v>
      </c>
      <c r="B1" s="4" t="s">
        <v>40</v>
      </c>
    </row>
    <row r="2" spans="1:2" x14ac:dyDescent="0.3">
      <c r="A2">
        <v>0</v>
      </c>
      <c r="B2" s="9" t="s">
        <v>32</v>
      </c>
    </row>
    <row r="3" spans="1:2" x14ac:dyDescent="0.3">
      <c r="A3">
        <v>201</v>
      </c>
      <c r="B3" s="9" t="s">
        <v>43</v>
      </c>
    </row>
    <row r="4" spans="1:2" x14ac:dyDescent="0.3">
      <c r="A4">
        <v>202</v>
      </c>
      <c r="B4" s="9" t="s">
        <v>46</v>
      </c>
    </row>
    <row r="5" spans="1:2" x14ac:dyDescent="0.3">
      <c r="A5">
        <v>203</v>
      </c>
      <c r="B5" s="9" t="s">
        <v>48</v>
      </c>
    </row>
    <row r="6" spans="1:2" x14ac:dyDescent="0.3">
      <c r="A6">
        <v>204</v>
      </c>
      <c r="B6" s="9" t="s">
        <v>50</v>
      </c>
    </row>
    <row r="7" spans="1:2" x14ac:dyDescent="0.3">
      <c r="A7">
        <v>205</v>
      </c>
      <c r="B7" s="9" t="s">
        <v>52</v>
      </c>
    </row>
    <row r="8" spans="1:2" x14ac:dyDescent="0.3">
      <c r="A8">
        <v>206</v>
      </c>
      <c r="B8" s="9" t="s">
        <v>54</v>
      </c>
    </row>
    <row r="9" spans="1:2" x14ac:dyDescent="0.3">
      <c r="A9">
        <v>207</v>
      </c>
      <c r="B9" s="9" t="s">
        <v>56</v>
      </c>
    </row>
    <row r="10" spans="1:2" x14ac:dyDescent="0.3">
      <c r="A10">
        <v>208</v>
      </c>
      <c r="B10" s="9" t="s">
        <v>58</v>
      </c>
    </row>
    <row r="11" spans="1:2" x14ac:dyDescent="0.3">
      <c r="A11">
        <v>209</v>
      </c>
      <c r="B11" s="9" t="s">
        <v>60</v>
      </c>
    </row>
    <row r="12" spans="1:2" x14ac:dyDescent="0.3">
      <c r="A12">
        <v>210</v>
      </c>
      <c r="B12" s="9" t="s">
        <v>49</v>
      </c>
    </row>
    <row r="13" spans="1:2" x14ac:dyDescent="0.3">
      <c r="A13">
        <v>211</v>
      </c>
      <c r="B13" s="9" t="s">
        <v>51</v>
      </c>
    </row>
    <row r="14" spans="1:2" x14ac:dyDescent="0.3">
      <c r="A14">
        <v>212</v>
      </c>
      <c r="B14" s="9" t="s">
        <v>64</v>
      </c>
    </row>
    <row r="15" spans="1:2" x14ac:dyDescent="0.3">
      <c r="A15">
        <v>213</v>
      </c>
      <c r="B15" s="9" t="s">
        <v>66</v>
      </c>
    </row>
    <row r="16" spans="1:2" x14ac:dyDescent="0.3">
      <c r="A16">
        <v>214</v>
      </c>
      <c r="B16" s="9" t="s">
        <v>68</v>
      </c>
    </row>
    <row r="17" spans="1:2" x14ac:dyDescent="0.3">
      <c r="A17">
        <v>215</v>
      </c>
      <c r="B17" s="9" t="s">
        <v>69</v>
      </c>
    </row>
    <row r="18" spans="1:2" x14ac:dyDescent="0.3">
      <c r="A18">
        <v>216</v>
      </c>
      <c r="B18" s="9" t="s">
        <v>71</v>
      </c>
    </row>
    <row r="19" spans="1:2" x14ac:dyDescent="0.3">
      <c r="A19">
        <v>217</v>
      </c>
      <c r="B19" s="9" t="s">
        <v>73</v>
      </c>
    </row>
    <row r="20" spans="1:2" x14ac:dyDescent="0.3">
      <c r="A20">
        <v>218</v>
      </c>
      <c r="B20" s="9" t="s">
        <v>75</v>
      </c>
    </row>
    <row r="21" spans="1:2" x14ac:dyDescent="0.3">
      <c r="A21">
        <v>219</v>
      </c>
      <c r="B21" s="9" t="s">
        <v>77</v>
      </c>
    </row>
    <row r="22" spans="1:2" x14ac:dyDescent="0.3">
      <c r="A22">
        <v>220</v>
      </c>
      <c r="B22" s="9" t="s">
        <v>79</v>
      </c>
    </row>
    <row r="23" spans="1:2" x14ac:dyDescent="0.3">
      <c r="A23">
        <v>221</v>
      </c>
      <c r="B23" s="9" t="s">
        <v>81</v>
      </c>
    </row>
    <row r="24" spans="1:2" x14ac:dyDescent="0.3">
      <c r="A24">
        <v>222</v>
      </c>
      <c r="B24" s="9" t="s">
        <v>83</v>
      </c>
    </row>
    <row r="25" spans="1:2" x14ac:dyDescent="0.3">
      <c r="A25">
        <v>223</v>
      </c>
      <c r="B25" s="9" t="s">
        <v>85</v>
      </c>
    </row>
    <row r="26" spans="1:2" x14ac:dyDescent="0.3">
      <c r="A26">
        <v>224</v>
      </c>
      <c r="B26" s="9" t="s">
        <v>87</v>
      </c>
    </row>
    <row r="27" spans="1:2" x14ac:dyDescent="0.3">
      <c r="A27">
        <v>225</v>
      </c>
      <c r="B27" s="9" t="s">
        <v>89</v>
      </c>
    </row>
    <row r="28" spans="1:2" x14ac:dyDescent="0.3">
      <c r="A28">
        <v>226</v>
      </c>
      <c r="B28" s="9" t="s">
        <v>91</v>
      </c>
    </row>
    <row r="29" spans="1:2" x14ac:dyDescent="0.3">
      <c r="A29">
        <v>227</v>
      </c>
      <c r="B29" s="9" t="s">
        <v>93</v>
      </c>
    </row>
    <row r="30" spans="1:2" x14ac:dyDescent="0.3">
      <c r="A30">
        <v>228</v>
      </c>
      <c r="B30" s="9" t="s">
        <v>95</v>
      </c>
    </row>
    <row r="31" spans="1:2" x14ac:dyDescent="0.3">
      <c r="A31">
        <v>229</v>
      </c>
      <c r="B31" s="9" t="s">
        <v>97</v>
      </c>
    </row>
    <row r="32" spans="1:2" x14ac:dyDescent="0.3">
      <c r="A32">
        <v>230</v>
      </c>
      <c r="B32" s="9" t="s">
        <v>99</v>
      </c>
    </row>
    <row r="33" spans="1:2" x14ac:dyDescent="0.3">
      <c r="A33">
        <v>231</v>
      </c>
      <c r="B33" s="9" t="s">
        <v>100</v>
      </c>
    </row>
    <row r="34" spans="1:2" x14ac:dyDescent="0.3">
      <c r="A34">
        <v>232</v>
      </c>
      <c r="B34" s="9" t="s">
        <v>102</v>
      </c>
    </row>
    <row r="35" spans="1:2" x14ac:dyDescent="0.3">
      <c r="A35">
        <v>233</v>
      </c>
      <c r="B35" s="9" t="s">
        <v>103</v>
      </c>
    </row>
    <row r="36" spans="1:2" x14ac:dyDescent="0.3">
      <c r="A36">
        <v>234</v>
      </c>
      <c r="B36" s="9" t="s">
        <v>105</v>
      </c>
    </row>
    <row r="37" spans="1:2" x14ac:dyDescent="0.3">
      <c r="A37">
        <v>235</v>
      </c>
      <c r="B37" s="9" t="s">
        <v>107</v>
      </c>
    </row>
    <row r="38" spans="1:2" x14ac:dyDescent="0.3">
      <c r="A38">
        <v>236</v>
      </c>
      <c r="B38" s="9" t="s">
        <v>108</v>
      </c>
    </row>
    <row r="39" spans="1:2" x14ac:dyDescent="0.3">
      <c r="A39">
        <v>237</v>
      </c>
      <c r="B39" s="9" t="s">
        <v>110</v>
      </c>
    </row>
    <row r="40" spans="1:2" x14ac:dyDescent="0.3">
      <c r="A40">
        <v>238</v>
      </c>
      <c r="B40" s="9" t="s">
        <v>112</v>
      </c>
    </row>
    <row r="41" spans="1:2" x14ac:dyDescent="0.3">
      <c r="A41">
        <v>239</v>
      </c>
      <c r="B41" s="9" t="s">
        <v>114</v>
      </c>
    </row>
    <row r="42" spans="1:2" x14ac:dyDescent="0.3">
      <c r="A42">
        <v>240</v>
      </c>
      <c r="B42" s="9" t="s">
        <v>116</v>
      </c>
    </row>
    <row r="43" spans="1:2" x14ac:dyDescent="0.3">
      <c r="A43">
        <v>241</v>
      </c>
      <c r="B43" s="9" t="s">
        <v>118</v>
      </c>
    </row>
    <row r="44" spans="1:2" x14ac:dyDescent="0.3">
      <c r="A44">
        <v>242</v>
      </c>
      <c r="B44" s="9" t="s">
        <v>34</v>
      </c>
    </row>
    <row r="45" spans="1:2" x14ac:dyDescent="0.3">
      <c r="A45">
        <v>243</v>
      </c>
      <c r="B45" s="9" t="s">
        <v>119</v>
      </c>
    </row>
    <row r="46" spans="1:2" x14ac:dyDescent="0.3">
      <c r="A46">
        <v>244</v>
      </c>
      <c r="B46" s="9" t="s">
        <v>120</v>
      </c>
    </row>
    <row r="47" spans="1:2" x14ac:dyDescent="0.3">
      <c r="A47">
        <v>245</v>
      </c>
      <c r="B47" s="9" t="s">
        <v>121</v>
      </c>
    </row>
    <row r="48" spans="1:2" x14ac:dyDescent="0.3">
      <c r="A48">
        <v>246</v>
      </c>
      <c r="B48" s="9" t="s">
        <v>122</v>
      </c>
    </row>
    <row r="49" spans="1:2" x14ac:dyDescent="0.3">
      <c r="A49">
        <v>247</v>
      </c>
      <c r="B49" s="9" t="s">
        <v>123</v>
      </c>
    </row>
    <row r="50" spans="1:2" x14ac:dyDescent="0.3">
      <c r="A50">
        <v>248</v>
      </c>
      <c r="B50" s="9" t="s">
        <v>124</v>
      </c>
    </row>
    <row r="51" spans="1:2" x14ac:dyDescent="0.3">
      <c r="A51">
        <v>249</v>
      </c>
      <c r="B51" s="9" t="s">
        <v>125</v>
      </c>
    </row>
    <row r="52" spans="1:2" x14ac:dyDescent="0.3">
      <c r="A52">
        <v>250</v>
      </c>
      <c r="B52" s="9" t="s">
        <v>126</v>
      </c>
    </row>
    <row r="53" spans="1:2" x14ac:dyDescent="0.3">
      <c r="A53">
        <v>251</v>
      </c>
      <c r="B53" s="9" t="s">
        <v>127</v>
      </c>
    </row>
    <row r="54" spans="1:2" x14ac:dyDescent="0.3">
      <c r="A54">
        <v>252</v>
      </c>
      <c r="B54" s="9" t="s">
        <v>128</v>
      </c>
    </row>
    <row r="55" spans="1:2" x14ac:dyDescent="0.3">
      <c r="A55">
        <v>253</v>
      </c>
      <c r="B55" s="9" t="s">
        <v>129</v>
      </c>
    </row>
    <row r="56" spans="1:2" x14ac:dyDescent="0.3">
      <c r="A56">
        <v>254</v>
      </c>
      <c r="B56" s="9" t="s">
        <v>130</v>
      </c>
    </row>
    <row r="57" spans="1:2" x14ac:dyDescent="0.3">
      <c r="A57">
        <v>255</v>
      </c>
      <c r="B57" s="9" t="s">
        <v>131</v>
      </c>
    </row>
    <row r="58" spans="1:2" x14ac:dyDescent="0.3">
      <c r="A58">
        <v>256</v>
      </c>
      <c r="B58" s="9" t="s">
        <v>132</v>
      </c>
    </row>
    <row r="59" spans="1:2" x14ac:dyDescent="0.3">
      <c r="A59">
        <v>257</v>
      </c>
      <c r="B59" s="9" t="s">
        <v>133</v>
      </c>
    </row>
    <row r="60" spans="1:2" x14ac:dyDescent="0.3">
      <c r="A60">
        <v>258</v>
      </c>
      <c r="B60" s="9" t="s">
        <v>134</v>
      </c>
    </row>
    <row r="61" spans="1:2" x14ac:dyDescent="0.3">
      <c r="A61">
        <v>259</v>
      </c>
      <c r="B61" s="9" t="s">
        <v>135</v>
      </c>
    </row>
    <row r="62" spans="1:2" x14ac:dyDescent="0.3">
      <c r="A62">
        <v>260</v>
      </c>
      <c r="B62" s="9" t="s">
        <v>136</v>
      </c>
    </row>
    <row r="63" spans="1:2" x14ac:dyDescent="0.3">
      <c r="A63">
        <v>261</v>
      </c>
      <c r="B63" s="9" t="s">
        <v>137</v>
      </c>
    </row>
    <row r="64" spans="1:2" x14ac:dyDescent="0.3">
      <c r="A64">
        <v>700</v>
      </c>
      <c r="B64" s="9" t="s">
        <v>138</v>
      </c>
    </row>
    <row r="65" spans="1:2" x14ac:dyDescent="0.3">
      <c r="A65">
        <v>263</v>
      </c>
      <c r="B65" s="9" t="s">
        <v>139</v>
      </c>
    </row>
    <row r="66" spans="1:2" x14ac:dyDescent="0.3">
      <c r="A66">
        <v>264</v>
      </c>
      <c r="B66" s="9" t="s">
        <v>140</v>
      </c>
    </row>
    <row r="67" spans="1:2" x14ac:dyDescent="0.3">
      <c r="A67">
        <v>265</v>
      </c>
      <c r="B67" s="9" t="s">
        <v>141</v>
      </c>
    </row>
    <row r="68" spans="1:2" x14ac:dyDescent="0.3">
      <c r="A68">
        <v>266</v>
      </c>
      <c r="B68" s="9" t="s">
        <v>142</v>
      </c>
    </row>
    <row r="69" spans="1:2" x14ac:dyDescent="0.3">
      <c r="A69">
        <v>267</v>
      </c>
      <c r="B69" s="9" t="s">
        <v>143</v>
      </c>
    </row>
    <row r="70" spans="1:2" x14ac:dyDescent="0.3">
      <c r="A70">
        <v>268</v>
      </c>
      <c r="B70" s="9" t="s">
        <v>144</v>
      </c>
    </row>
    <row r="71" spans="1:2" x14ac:dyDescent="0.3">
      <c r="A71">
        <v>269</v>
      </c>
      <c r="B71" s="9" t="s">
        <v>145</v>
      </c>
    </row>
    <row r="72" spans="1:2" x14ac:dyDescent="0.3">
      <c r="A72">
        <v>270</v>
      </c>
      <c r="B72" s="9" t="s">
        <v>36</v>
      </c>
    </row>
    <row r="73" spans="1:2" x14ac:dyDescent="0.3">
      <c r="A73">
        <v>271</v>
      </c>
      <c r="B73" s="9" t="s">
        <v>38</v>
      </c>
    </row>
    <row r="74" spans="1:2" x14ac:dyDescent="0.3">
      <c r="A74">
        <v>272</v>
      </c>
      <c r="B74" s="9" t="s">
        <v>39</v>
      </c>
    </row>
    <row r="75" spans="1:2" x14ac:dyDescent="0.3">
      <c r="A75">
        <v>273</v>
      </c>
      <c r="B75" s="9" t="s">
        <v>30</v>
      </c>
    </row>
    <row r="76" spans="1:2" x14ac:dyDescent="0.3">
      <c r="A76">
        <v>274</v>
      </c>
      <c r="B76" s="9" t="s">
        <v>147</v>
      </c>
    </row>
    <row r="77" spans="1:2" x14ac:dyDescent="0.3">
      <c r="A77">
        <v>275</v>
      </c>
      <c r="B77" s="9" t="s">
        <v>34</v>
      </c>
    </row>
    <row r="78" spans="1:2" x14ac:dyDescent="0.3">
      <c r="A78">
        <v>276</v>
      </c>
      <c r="B78" s="9" t="s">
        <v>148</v>
      </c>
    </row>
    <row r="79" spans="1:2" x14ac:dyDescent="0.3">
      <c r="A79">
        <v>277</v>
      </c>
      <c r="B79" s="9" t="s">
        <v>149</v>
      </c>
    </row>
    <row r="80" spans="1:2" x14ac:dyDescent="0.3">
      <c r="A80">
        <v>278</v>
      </c>
      <c r="B80" s="9" t="s">
        <v>150</v>
      </c>
    </row>
    <row r="81" spans="1:2" x14ac:dyDescent="0.3">
      <c r="A81">
        <v>279</v>
      </c>
      <c r="B81" s="9" t="s">
        <v>151</v>
      </c>
    </row>
    <row r="82" spans="1:2" x14ac:dyDescent="0.3">
      <c r="A82">
        <v>280</v>
      </c>
      <c r="B82" s="9" t="s">
        <v>152</v>
      </c>
    </row>
    <row r="83" spans="1:2" x14ac:dyDescent="0.3">
      <c r="A83">
        <v>281</v>
      </c>
      <c r="B83" s="9" t="s">
        <v>156</v>
      </c>
    </row>
    <row r="84" spans="1:2" x14ac:dyDescent="0.3">
      <c r="A84">
        <v>282</v>
      </c>
      <c r="B84" s="9" t="s">
        <v>146</v>
      </c>
    </row>
    <row r="85" spans="1:2" x14ac:dyDescent="0.3">
      <c r="A85">
        <v>283</v>
      </c>
      <c r="B85" s="9" t="s">
        <v>157</v>
      </c>
    </row>
    <row r="86" spans="1:2" x14ac:dyDescent="0.3">
      <c r="A86">
        <v>284</v>
      </c>
      <c r="B86" s="9" t="s">
        <v>158</v>
      </c>
    </row>
    <row r="87" spans="1:2" x14ac:dyDescent="0.3">
      <c r="A87">
        <v>658</v>
      </c>
      <c r="B87" s="9" t="s">
        <v>111</v>
      </c>
    </row>
  </sheetData>
  <pageMargins left="0.7" right="0.7" top="0.75" bottom="0.75" header="0.3" footer="0.3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A4225-C62D-4364-81FA-32208133E999}">
  <dimension ref="A1:B48"/>
  <sheetViews>
    <sheetView topLeftCell="A16" workbookViewId="0">
      <selection activeCell="B52" sqref="B52"/>
    </sheetView>
  </sheetViews>
  <sheetFormatPr defaultRowHeight="14.4" x14ac:dyDescent="0.3"/>
  <cols>
    <col min="1" max="1" width="13.88671875" bestFit="1" customWidth="1"/>
    <col min="2" max="2" width="20.5546875" bestFit="1" customWidth="1"/>
    <col min="3" max="3" width="18.33203125" bestFit="1" customWidth="1"/>
  </cols>
  <sheetData>
    <row r="1" spans="1:2" x14ac:dyDescent="0.3">
      <c r="A1" s="4" t="s">
        <v>169</v>
      </c>
      <c r="B1" s="4" t="s">
        <v>41</v>
      </c>
    </row>
    <row r="2" spans="1:2" x14ac:dyDescent="0.3">
      <c r="A2">
        <v>1318</v>
      </c>
      <c r="B2" t="s">
        <v>43</v>
      </c>
    </row>
    <row r="3" spans="1:2" x14ac:dyDescent="0.3">
      <c r="A3">
        <v>1328</v>
      </c>
      <c r="B3" t="s">
        <v>46</v>
      </c>
    </row>
    <row r="4" spans="1:2" x14ac:dyDescent="0.3">
      <c r="A4">
        <v>1337</v>
      </c>
      <c r="B4" t="s">
        <v>44</v>
      </c>
    </row>
    <row r="5" spans="1:2" x14ac:dyDescent="0.3">
      <c r="A5">
        <v>1345</v>
      </c>
      <c r="B5" t="s">
        <v>47</v>
      </c>
    </row>
    <row r="6" spans="1:2" x14ac:dyDescent="0.3">
      <c r="A6">
        <v>1346</v>
      </c>
      <c r="B6" t="s">
        <v>49</v>
      </c>
    </row>
    <row r="7" spans="1:2" x14ac:dyDescent="0.3">
      <c r="A7">
        <v>1347</v>
      </c>
      <c r="B7" t="s">
        <v>51</v>
      </c>
    </row>
    <row r="8" spans="1:2" x14ac:dyDescent="0.3">
      <c r="A8">
        <v>1348</v>
      </c>
      <c r="B8" t="s">
        <v>53</v>
      </c>
    </row>
    <row r="9" spans="1:2" x14ac:dyDescent="0.3">
      <c r="A9">
        <v>1349</v>
      </c>
      <c r="B9" t="s">
        <v>55</v>
      </c>
    </row>
    <row r="10" spans="1:2" x14ac:dyDescent="0.3">
      <c r="A10">
        <v>1350</v>
      </c>
      <c r="B10" t="s">
        <v>57</v>
      </c>
    </row>
    <row r="11" spans="1:2" x14ac:dyDescent="0.3">
      <c r="A11">
        <v>1351</v>
      </c>
      <c r="B11" t="s">
        <v>59</v>
      </c>
    </row>
    <row r="12" spans="1:2" x14ac:dyDescent="0.3">
      <c r="A12">
        <v>1352</v>
      </c>
      <c r="B12" t="s">
        <v>61</v>
      </c>
    </row>
    <row r="13" spans="1:2" x14ac:dyDescent="0.3">
      <c r="A13">
        <v>1353</v>
      </c>
      <c r="B13" t="s">
        <v>62</v>
      </c>
    </row>
    <row r="14" spans="1:2" x14ac:dyDescent="0.3">
      <c r="A14">
        <v>1354</v>
      </c>
      <c r="B14" t="s">
        <v>63</v>
      </c>
    </row>
    <row r="15" spans="1:2" x14ac:dyDescent="0.3">
      <c r="A15">
        <v>1355</v>
      </c>
      <c r="B15" t="s">
        <v>65</v>
      </c>
    </row>
    <row r="16" spans="1:2" x14ac:dyDescent="0.3">
      <c r="A16">
        <v>1356</v>
      </c>
      <c r="B16" t="s">
        <v>67</v>
      </c>
    </row>
    <row r="17" spans="1:2" x14ac:dyDescent="0.3">
      <c r="A17">
        <v>1357</v>
      </c>
      <c r="B17" t="s">
        <v>70</v>
      </c>
    </row>
    <row r="18" spans="1:2" x14ac:dyDescent="0.3">
      <c r="A18">
        <v>1358</v>
      </c>
      <c r="B18" t="s">
        <v>72</v>
      </c>
    </row>
    <row r="19" spans="1:2" x14ac:dyDescent="0.3">
      <c r="A19">
        <v>1359</v>
      </c>
      <c r="B19" t="s">
        <v>74</v>
      </c>
    </row>
    <row r="20" spans="1:2" x14ac:dyDescent="0.3">
      <c r="A20">
        <v>1360</v>
      </c>
      <c r="B20" t="s">
        <v>76</v>
      </c>
    </row>
    <row r="21" spans="1:2" x14ac:dyDescent="0.3">
      <c r="A21">
        <v>1361</v>
      </c>
      <c r="B21" t="s">
        <v>78</v>
      </c>
    </row>
    <row r="22" spans="1:2" x14ac:dyDescent="0.3">
      <c r="A22">
        <v>1362</v>
      </c>
      <c r="B22" t="s">
        <v>80</v>
      </c>
    </row>
    <row r="23" spans="1:2" x14ac:dyDescent="0.3">
      <c r="A23">
        <v>1363</v>
      </c>
      <c r="B23" t="s">
        <v>82</v>
      </c>
    </row>
    <row r="24" spans="1:2" x14ac:dyDescent="0.3">
      <c r="A24">
        <v>1364</v>
      </c>
      <c r="B24" t="s">
        <v>84</v>
      </c>
    </row>
    <row r="25" spans="1:2" x14ac:dyDescent="0.3">
      <c r="A25">
        <v>1365</v>
      </c>
      <c r="B25" t="s">
        <v>86</v>
      </c>
    </row>
    <row r="26" spans="1:2" x14ac:dyDescent="0.3">
      <c r="A26">
        <v>1366</v>
      </c>
      <c r="B26" t="s">
        <v>88</v>
      </c>
    </row>
    <row r="27" spans="1:2" x14ac:dyDescent="0.3">
      <c r="A27">
        <v>1367</v>
      </c>
      <c r="B27" t="s">
        <v>90</v>
      </c>
    </row>
    <row r="28" spans="1:2" x14ac:dyDescent="0.3">
      <c r="A28">
        <v>1368</v>
      </c>
      <c r="B28" t="s">
        <v>92</v>
      </c>
    </row>
    <row r="29" spans="1:2" x14ac:dyDescent="0.3">
      <c r="A29">
        <v>1369</v>
      </c>
      <c r="B29" t="s">
        <v>94</v>
      </c>
    </row>
    <row r="30" spans="1:2" x14ac:dyDescent="0.3">
      <c r="A30">
        <v>1370</v>
      </c>
      <c r="B30" t="s">
        <v>96</v>
      </c>
    </row>
    <row r="31" spans="1:2" x14ac:dyDescent="0.3">
      <c r="A31">
        <v>1371</v>
      </c>
      <c r="B31" t="s">
        <v>98</v>
      </c>
    </row>
    <row r="32" spans="1:2" x14ac:dyDescent="0.3">
      <c r="A32">
        <v>1372</v>
      </c>
      <c r="B32" t="s">
        <v>72</v>
      </c>
    </row>
    <row r="33" spans="1:2" x14ac:dyDescent="0.3">
      <c r="A33">
        <v>1373</v>
      </c>
      <c r="B33" t="s">
        <v>101</v>
      </c>
    </row>
    <row r="34" spans="1:2" x14ac:dyDescent="0.3">
      <c r="A34">
        <v>834</v>
      </c>
      <c r="B34" t="s">
        <v>35</v>
      </c>
    </row>
    <row r="35" spans="1:2" x14ac:dyDescent="0.3">
      <c r="A35">
        <v>373</v>
      </c>
      <c r="B35" t="s">
        <v>104</v>
      </c>
    </row>
    <row r="36" spans="1:2" x14ac:dyDescent="0.3">
      <c r="A36">
        <v>1338</v>
      </c>
      <c r="B36" t="s">
        <v>106</v>
      </c>
    </row>
    <row r="37" spans="1:2" x14ac:dyDescent="0.3">
      <c r="A37">
        <v>1377</v>
      </c>
      <c r="B37" t="s">
        <v>32</v>
      </c>
    </row>
    <row r="38" spans="1:2" x14ac:dyDescent="0.3">
      <c r="A38">
        <v>1378</v>
      </c>
      <c r="B38" t="s">
        <v>109</v>
      </c>
    </row>
    <row r="39" spans="1:2" x14ac:dyDescent="0.3">
      <c r="A39">
        <v>658</v>
      </c>
      <c r="B39" t="s">
        <v>111</v>
      </c>
    </row>
    <row r="40" spans="1:2" x14ac:dyDescent="0.3">
      <c r="A40">
        <v>991</v>
      </c>
      <c r="B40" t="s">
        <v>113</v>
      </c>
    </row>
    <row r="41" spans="1:2" x14ac:dyDescent="0.3">
      <c r="A41">
        <v>823</v>
      </c>
      <c r="B41" t="s">
        <v>115</v>
      </c>
    </row>
    <row r="42" spans="1:2" x14ac:dyDescent="0.3">
      <c r="A42">
        <v>1748</v>
      </c>
      <c r="B42" t="s">
        <v>117</v>
      </c>
    </row>
    <row r="43" spans="1:2" x14ac:dyDescent="0.3">
      <c r="A43">
        <v>1747</v>
      </c>
      <c r="B43" t="s">
        <v>37</v>
      </c>
    </row>
    <row r="44" spans="1:2" x14ac:dyDescent="0.3">
      <c r="A44">
        <v>1741</v>
      </c>
      <c r="B44" t="s">
        <v>31</v>
      </c>
    </row>
    <row r="45" spans="1:2" x14ac:dyDescent="0.3">
      <c r="A45">
        <v>1749</v>
      </c>
      <c r="B45" t="s">
        <v>153</v>
      </c>
    </row>
    <row r="46" spans="1:2" x14ac:dyDescent="0.3">
      <c r="A46">
        <v>343</v>
      </c>
      <c r="B46" t="s">
        <v>154</v>
      </c>
    </row>
    <row r="47" spans="1:2" x14ac:dyDescent="0.3">
      <c r="A47">
        <v>1750</v>
      </c>
      <c r="B47" t="s">
        <v>155</v>
      </c>
    </row>
    <row r="48" spans="1:2" x14ac:dyDescent="0.3">
      <c r="A48">
        <v>700</v>
      </c>
      <c r="B48" t="s">
        <v>138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3DE66-F52F-42C8-97E9-866DD69D585D}">
  <dimension ref="A1:B5"/>
  <sheetViews>
    <sheetView workbookViewId="0">
      <selection activeCell="B4" sqref="B4"/>
    </sheetView>
  </sheetViews>
  <sheetFormatPr defaultRowHeight="14.4" x14ac:dyDescent="0.3"/>
  <cols>
    <col min="1" max="1" width="11.109375" bestFit="1" customWidth="1"/>
    <col min="2" max="2" width="10.6640625" bestFit="1" customWidth="1"/>
    <col min="3" max="3" width="11.33203125" customWidth="1"/>
  </cols>
  <sheetData>
    <row r="1" spans="1:2" x14ac:dyDescent="0.3">
      <c r="A1" s="4" t="s">
        <v>162</v>
      </c>
      <c r="B1" s="4" t="s">
        <v>42</v>
      </c>
    </row>
    <row r="2" spans="1:2" x14ac:dyDescent="0.3">
      <c r="A2" s="8">
        <v>1</v>
      </c>
      <c r="B2" t="s">
        <v>33</v>
      </c>
    </row>
    <row r="3" spans="1:2" x14ac:dyDescent="0.3">
      <c r="A3" s="8">
        <v>2</v>
      </c>
      <c r="B3" t="s">
        <v>45</v>
      </c>
    </row>
    <row r="4" spans="1:2" x14ac:dyDescent="0.3">
      <c r="A4" s="8">
        <v>3</v>
      </c>
      <c r="B4" t="s">
        <v>171</v>
      </c>
    </row>
    <row r="5" spans="1:2" x14ac:dyDescent="0.3">
      <c r="A5" s="8">
        <v>4</v>
      </c>
      <c r="B5" t="s">
        <v>172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B2048-0124-4159-8DFA-B793A7CC534B}">
  <dimension ref="A1:C32"/>
  <sheetViews>
    <sheetView workbookViewId="0">
      <selection activeCell="J12" sqref="J12"/>
    </sheetView>
  </sheetViews>
  <sheetFormatPr defaultRowHeight="14.4" x14ac:dyDescent="0.3"/>
  <cols>
    <col min="1" max="1" width="22" customWidth="1"/>
    <col min="2" max="2" width="29" customWidth="1"/>
    <col min="3" max="3" width="32.33203125" customWidth="1"/>
  </cols>
  <sheetData>
    <row r="1" spans="1:3" ht="28.95" customHeight="1" x14ac:dyDescent="0.3">
      <c r="A1" s="4" t="s">
        <v>161</v>
      </c>
      <c r="B1" s="4" t="s">
        <v>159</v>
      </c>
      <c r="C1" s="4" t="s">
        <v>160</v>
      </c>
    </row>
    <row r="2" spans="1:3" x14ac:dyDescent="0.3">
      <c r="A2" s="7" t="s">
        <v>168</v>
      </c>
      <c r="B2" s="25" t="s">
        <v>0</v>
      </c>
    </row>
    <row r="3" spans="1:3" x14ac:dyDescent="0.3">
      <c r="A3" s="7" t="s">
        <v>168</v>
      </c>
      <c r="B3" s="25" t="s">
        <v>1</v>
      </c>
    </row>
    <row r="4" spans="1:3" x14ac:dyDescent="0.3">
      <c r="A4" s="7" t="s">
        <v>168</v>
      </c>
      <c r="B4" s="25" t="s">
        <v>2</v>
      </c>
    </row>
    <row r="5" spans="1:3" x14ac:dyDescent="0.3">
      <c r="A5" s="7" t="s">
        <v>168</v>
      </c>
      <c r="B5" s="25" t="s">
        <v>3</v>
      </c>
    </row>
    <row r="6" spans="1:3" x14ac:dyDescent="0.3">
      <c r="A6" s="7" t="s">
        <v>168</v>
      </c>
      <c r="B6" s="25" t="s">
        <v>4</v>
      </c>
    </row>
    <row r="7" spans="1:3" x14ac:dyDescent="0.3">
      <c r="A7" s="7" t="s">
        <v>168</v>
      </c>
      <c r="B7" s="25" t="s">
        <v>5</v>
      </c>
    </row>
    <row r="8" spans="1:3" x14ac:dyDescent="0.3">
      <c r="A8" s="7" t="s">
        <v>168</v>
      </c>
      <c r="B8" s="25" t="s">
        <v>6</v>
      </c>
    </row>
    <row r="9" spans="1:3" x14ac:dyDescent="0.3">
      <c r="A9" s="7" t="s">
        <v>168</v>
      </c>
      <c r="B9" s="25" t="s">
        <v>7</v>
      </c>
    </row>
    <row r="10" spans="1:3" x14ac:dyDescent="0.3">
      <c r="A10" s="7" t="s">
        <v>168</v>
      </c>
      <c r="B10" s="25" t="s">
        <v>8</v>
      </c>
    </row>
    <row r="11" spans="1:3" x14ac:dyDescent="0.3">
      <c r="A11" s="7" t="s">
        <v>168</v>
      </c>
      <c r="B11" s="25" t="s">
        <v>166</v>
      </c>
    </row>
    <row r="12" spans="1:3" x14ac:dyDescent="0.3">
      <c r="A12" s="7" t="s">
        <v>168</v>
      </c>
      <c r="B12" s="25" t="s">
        <v>9</v>
      </c>
    </row>
    <row r="13" spans="1:3" x14ac:dyDescent="0.3">
      <c r="A13" s="7" t="s">
        <v>168</v>
      </c>
      <c r="B13" s="25" t="s">
        <v>10</v>
      </c>
    </row>
    <row r="14" spans="1:3" x14ac:dyDescent="0.3">
      <c r="A14" s="7" t="s">
        <v>168</v>
      </c>
      <c r="B14" s="25" t="s">
        <v>11</v>
      </c>
    </row>
    <row r="15" spans="1:3" x14ac:dyDescent="0.3">
      <c r="A15" s="7" t="s">
        <v>168</v>
      </c>
      <c r="B15" s="25" t="s">
        <v>12</v>
      </c>
    </row>
    <row r="16" spans="1:3" x14ac:dyDescent="0.3">
      <c r="A16" s="7" t="s">
        <v>168</v>
      </c>
      <c r="B16" s="25" t="s">
        <v>13</v>
      </c>
    </row>
    <row r="17" spans="1:2" x14ac:dyDescent="0.3">
      <c r="A17" s="7" t="s">
        <v>168</v>
      </c>
      <c r="B17" s="25" t="s">
        <v>14</v>
      </c>
    </row>
    <row r="18" spans="1:2" x14ac:dyDescent="0.3">
      <c r="A18" s="7" t="s">
        <v>168</v>
      </c>
      <c r="B18" s="25" t="s">
        <v>15</v>
      </c>
    </row>
    <row r="19" spans="1:2" x14ac:dyDescent="0.3">
      <c r="A19" s="7" t="s">
        <v>168</v>
      </c>
      <c r="B19" s="25" t="s">
        <v>16</v>
      </c>
    </row>
    <row r="20" spans="1:2" x14ac:dyDescent="0.3">
      <c r="A20" s="7" t="s">
        <v>168</v>
      </c>
      <c r="B20" s="25" t="s">
        <v>17</v>
      </c>
    </row>
    <row r="21" spans="1:2" x14ac:dyDescent="0.3">
      <c r="A21" s="7" t="s">
        <v>168</v>
      </c>
      <c r="B21" s="25" t="s">
        <v>18</v>
      </c>
    </row>
    <row r="22" spans="1:2" x14ac:dyDescent="0.3">
      <c r="A22" s="7" t="s">
        <v>168</v>
      </c>
      <c r="B22" s="25" t="s">
        <v>19</v>
      </c>
    </row>
    <row r="23" spans="1:2" x14ac:dyDescent="0.3">
      <c r="A23" s="7" t="s">
        <v>168</v>
      </c>
      <c r="B23" s="25" t="s">
        <v>20</v>
      </c>
    </row>
    <row r="24" spans="1:2" x14ac:dyDescent="0.3">
      <c r="A24" s="7" t="s">
        <v>168</v>
      </c>
      <c r="B24" s="25" t="s">
        <v>21</v>
      </c>
    </row>
    <row r="25" spans="1:2" x14ac:dyDescent="0.3">
      <c r="A25" s="7" t="s">
        <v>168</v>
      </c>
      <c r="B25" s="25" t="s">
        <v>22</v>
      </c>
    </row>
    <row r="26" spans="1:2" x14ac:dyDescent="0.3">
      <c r="A26" s="7" t="s">
        <v>168</v>
      </c>
      <c r="B26" s="25" t="s">
        <v>23</v>
      </c>
    </row>
    <row r="27" spans="1:2" x14ac:dyDescent="0.3">
      <c r="A27" s="7" t="s">
        <v>168</v>
      </c>
      <c r="B27" s="25" t="s">
        <v>24</v>
      </c>
    </row>
    <row r="28" spans="1:2" x14ac:dyDescent="0.3">
      <c r="A28" s="7" t="s">
        <v>168</v>
      </c>
      <c r="B28" s="25" t="s">
        <v>173</v>
      </c>
    </row>
    <row r="29" spans="1:2" x14ac:dyDescent="0.3">
      <c r="A29" s="7" t="s">
        <v>168</v>
      </c>
      <c r="B29" s="25" t="s">
        <v>25</v>
      </c>
    </row>
    <row r="30" spans="1:2" x14ac:dyDescent="0.3">
      <c r="A30" s="7" t="s">
        <v>168</v>
      </c>
      <c r="B30" s="25" t="s">
        <v>26</v>
      </c>
    </row>
    <row r="31" spans="1:2" x14ac:dyDescent="0.3">
      <c r="A31" s="7" t="s">
        <v>168</v>
      </c>
      <c r="B31" s="25" t="s">
        <v>27</v>
      </c>
    </row>
    <row r="32" spans="1:2" x14ac:dyDescent="0.3">
      <c r="A32" s="7" t="s">
        <v>168</v>
      </c>
      <c r="B32" s="25" t="s">
        <v>28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0B4A5-D167-467A-BA41-B011B34FADAD}">
  <dimension ref="A1:D1"/>
  <sheetViews>
    <sheetView zoomScale="55" zoomScaleNormal="55" workbookViewId="0">
      <selection activeCell="A2" sqref="A2"/>
    </sheetView>
  </sheetViews>
  <sheetFormatPr defaultRowHeight="14.4" x14ac:dyDescent="0.3"/>
  <cols>
    <col min="1" max="1" width="20.44140625" customWidth="1"/>
    <col min="2" max="2" width="46.5546875" customWidth="1"/>
    <col min="3" max="3" width="44.44140625" customWidth="1"/>
    <col min="4" max="4" width="31.88671875" customWidth="1"/>
  </cols>
  <sheetData>
    <row r="1" spans="1:4" ht="32.25" customHeight="1" x14ac:dyDescent="0.3">
      <c r="A1" s="4" t="s">
        <v>162</v>
      </c>
      <c r="B1" s="4" t="s">
        <v>163</v>
      </c>
      <c r="C1" s="5" t="s">
        <v>164</v>
      </c>
      <c r="D1" s="6" t="s">
        <v>165</v>
      </c>
    </row>
  </sheetData>
  <pageMargins left="0.7" right="0.7" top="0.75" bottom="0.75" header="0.3" footer="0.3"/>
  <legacy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041f__x0440__x0438__x043c__x0435__x0447__x0430__x043d__x0438__x044f_ xmlns="83436558-f316-4017-a642-00b22f46d7ac" xsi:nil="true"/>
    <lcf76f155ced4ddcb4097134ff3c332f xmlns="83436558-f316-4017-a642-00b22f46d7ac">
      <Terms xmlns="http://schemas.microsoft.com/office/infopath/2007/PartnerControls"/>
    </lcf76f155ced4ddcb4097134ff3c332f>
    <TaxCatchAll xmlns="41701b6f-e099-46ea-a3e7-883fda740bf3" xsi:nil="true"/>
  </documentManagement>
</p:properties>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6E545EC638D0643BD4FC4309AE781E9" ma:contentTypeVersion="9" ma:contentTypeDescription="Создание документа." ma:contentTypeScope="" ma:versionID="4166ca5eb8474c2d52b1063ff0dd7a95">
  <xsd:schema xmlns:xsd="http://www.w3.org/2001/XMLSchema" xmlns:xs="http://www.w3.org/2001/XMLSchema" xmlns:p="http://schemas.microsoft.com/office/2006/metadata/properties" xmlns:ns2="83436558-f316-4017-a642-00b22f46d7ac" xmlns:ns3="41701b6f-e099-46ea-a3e7-883fda740bf3" targetNamespace="http://schemas.microsoft.com/office/2006/metadata/properties" ma:root="true" ma:fieldsID="4e75eddf72c58dc6a2433f9a8cf3ea0f" ns2:_="" ns3:_="">
    <xsd:import namespace="83436558-f316-4017-a642-00b22f46d7ac"/>
    <xsd:import namespace="41701b6f-e099-46ea-a3e7-883fda740b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_x041f__x0440__x0438__x043c__x0435__x0447__x0430__x043d__x0438__x044f_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436558-f316-4017-a642-00b22f46d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x041f__x0440__x0438__x043c__x0435__x0447__x0430__x043d__x0438__x044f_" ma:index="10" nillable="true" ma:displayName="Примечания" ma:format="Dropdown" ma:internalName="_x041f__x0440__x0438__x043c__x0435__x0447__x0430__x043d__x0438__x044f_">
      <xsd:simpleType>
        <xsd:restriction base="dms:Note">
          <xsd:maxLength value="255"/>
        </xsd:restriction>
      </xsd:simpleType>
    </xsd:element>
    <xsd:element name="lcf76f155ced4ddcb4097134ff3c332f" ma:index="12" nillable="true" ma:taxonomy="true" ma:internalName="lcf76f155ced4ddcb4097134ff3c332f" ma:taxonomyFieldName="MediaServiceImageTags" ma:displayName="Теги изображений" ma:readOnly="false" ma:fieldId="{5cf76f15-5ced-4ddc-b409-7134ff3c332f}" ma:taxonomyMulti="true" ma:sspId="4894c539-037d-4952-9f74-6cd15d93af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701b6f-e099-46ea-a3e7-883fda740bf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0fe5c0d7-b470-4d03-8fc7-b2611b827155}" ma:internalName="TaxCatchAll" ma:showField="CatchAllData" ma:web="41701b6f-e099-46ea-a3e7-883fda740b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365EAE3-9FF1-4610-AF8F-2C5AD0188605}">
  <ds:schemaRefs>
    <ds:schemaRef ds:uri="http://schemas.microsoft.com/office/2006/metadata/properties"/>
    <ds:schemaRef ds:uri="http://schemas.microsoft.com/office/infopath/2007/PartnerControls"/>
    <ds:schemaRef ds:uri="83436558-f316-4017-a642-00b22f46d7ac"/>
    <ds:schemaRef ds:uri="41701b6f-e099-46ea-a3e7-883fda740bf3"/>
  </ds:schemaRefs>
</ds:datastoreItem>
</file>

<file path=customXml/itemProps2.xml><?xml version="1.0" encoding="utf-8"?>
<ds:datastoreItem xmlns:ds="http://schemas.openxmlformats.org/officeDocument/2006/customXml" ds:itemID="{8C2A78E4-E571-418C-9457-F271DEF41BFB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70D09B5D-28B0-4F12-9A9F-CB344623778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09CBB852-B535-48D4-90DE-7363AAED25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436558-f316-4017-a642-00b22f46d7ac"/>
    <ds:schemaRef ds:uri="41701b6f-e099-46ea-a3e7-883fda740bf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SpecificationWork</vt:lpstr>
      <vt:lpstr>HandbookBrand</vt:lpstr>
      <vt:lpstr>HandbookSupplier</vt:lpstr>
      <vt:lpstr>HandbookUnit</vt:lpstr>
      <vt:lpstr>TableShema</vt:lpstr>
      <vt:lpstr>ConfigJSON</vt:lpstr>
    </vt:vector>
  </TitlesOfParts>
  <Manager/>
  <Company>ООО Горизонт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>Проект 1/2024. Северсталь-Заказ №2</dc:subject>
  <dc:creator>Иван Кукушкин</dc:creator>
  <cp:keywords/>
  <dc:description/>
  <cp:lastModifiedBy>Иван Кукушкин</cp:lastModifiedBy>
  <cp:revision>3</cp:revision>
  <dcterms:created xsi:type="dcterms:W3CDTF">2022-08-15T07:15:08Z</dcterms:created>
  <dcterms:modified xsi:type="dcterms:W3CDTF">2026-07-07T19:54:02Z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0x010100B6E545EC638D0643BD4FC4309AE781E9</vt:lpwstr>
  </property>
  <property fmtid="{D5CDD505-2E9C-101B-9397-08002B2CF9AE}" pid="3" name="MediaServiceImageTags">
    <vt:lpwstr/>
  </property>
  <property fmtid="{D5CDD505-2E9C-101B-9397-08002B2CF9AE}" pid="4" name="Order">
    <vt:r8>44800</vt:r8>
  </property>
  <property fmtid="{D5CDD505-2E9C-101B-9397-08002B2CF9AE}" pid="5" name="Примечание">
    <vt:lpwstr>Ревизия rev.02 версия v01 стала основным исходным материалом для подготовки СВОДНОГО документа - "30__Специффикация-МАС - SummaryTable rev.10". Данная ревизия + версия - это окончательные файлы спецификаций. Даже если необходимо внести изменения, то они вносятся в данные файлы без изменений ревизии и версии. ВНИМАТЕЛЬНО смотрите комментарии !</vt:lpwstr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_SourceUrl">
    <vt:lpwstr/>
  </property>
  <property fmtid="{D5CDD505-2E9C-101B-9397-08002B2CF9AE}" pid="11" name="_SharedFileIndex">
    <vt:lpwstr/>
  </property>
  <property fmtid="{D5CDD505-2E9C-101B-9397-08002B2CF9AE}" pid="12" name="ComplianceAssetId">
    <vt:lpwstr/>
  </property>
  <property fmtid="{D5CDD505-2E9C-101B-9397-08002B2CF9AE}" pid="13" name="TemplateUrl">
    <vt:lpwstr/>
  </property>
</Properties>
</file>