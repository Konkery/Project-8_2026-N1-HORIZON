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Хлам\Папченко\МАС\"/>
    </mc:Choice>
  </mc:AlternateContent>
  <xr:revisionPtr revIDLastSave="0" documentId="13_ncr:1_{B23DCCEA-AAD7-4108-8A35-7A261380961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6" i="1" l="1"/>
  <c r="F70" i="1"/>
  <c r="F62" i="1"/>
  <c r="F48" i="1"/>
  <c r="F41" i="1"/>
  <c r="F34" i="1"/>
  <c r="F22" i="1"/>
  <c r="F15" i="1"/>
  <c r="F8" i="1"/>
  <c r="E78" i="1"/>
  <c r="E76" i="1"/>
  <c r="F78" i="1" l="1"/>
  <c r="E8" i="1"/>
  <c r="E15" i="1"/>
  <c r="E22" i="1"/>
  <c r="E34" i="1"/>
  <c r="E41" i="1"/>
  <c r="E48" i="1"/>
  <c r="E62" i="1"/>
  <c r="E70" i="1"/>
</calcChain>
</file>

<file path=xl/sharedStrings.xml><?xml version="1.0" encoding="utf-8"?>
<sst xmlns="http://schemas.openxmlformats.org/spreadsheetml/2006/main" count="79" uniqueCount="29">
  <si>
    <t>МОДУЛЬ РАЗМЕЩЕНИЯ ЭЛЕКТРОНИКИ</t>
  </si>
  <si>
    <t xml:space="preserve">Обмер </t>
  </si>
  <si>
    <t>3D компонентов</t>
  </si>
  <si>
    <t>3D проект</t>
  </si>
  <si>
    <t>КД</t>
  </si>
  <si>
    <t>ВНЕШНЯЯ КОММУТАТЦИЯ СЕТИ ~230В</t>
  </si>
  <si>
    <t>ПЕРЕРАБОТКА ДВЕРИ №1</t>
  </si>
  <si>
    <t>УСТАНОВКА ДИСПЛЕЯ+RFID В ДВЕРЬ №2</t>
  </si>
  <si>
    <t>или</t>
  </si>
  <si>
    <t>Доработка</t>
  </si>
  <si>
    <t>Замена</t>
  </si>
  <si>
    <t>ПЕРЕРАБОТКА ТОЧЕК КРЕПЛЕНИЯ КОЛЕС</t>
  </si>
  <si>
    <t>КРОНШТЕЙН КАМЕР ВИДЕОНАБЛЮДЕНИЯ</t>
  </si>
  <si>
    <t xml:space="preserve"> (при возможности)</t>
  </si>
  <si>
    <t>КРОНШТЕЙН МОДУЛЯ МОНОБЛОКА</t>
  </si>
  <si>
    <t>Изучение аналогов</t>
  </si>
  <si>
    <t>Разработка своего</t>
  </si>
  <si>
    <t>Адаптация покупного</t>
  </si>
  <si>
    <t>Тара (+ закрепление полок)</t>
  </si>
  <si>
    <t>Рабочих дней</t>
  </si>
  <si>
    <t>Приоритет 1</t>
  </si>
  <si>
    <t>Приоритет 2</t>
  </si>
  <si>
    <t>Приоритет 3</t>
  </si>
  <si>
    <t xml:space="preserve"> </t>
  </si>
  <si>
    <t>Итого</t>
  </si>
  <si>
    <t>Общий итог</t>
  </si>
  <si>
    <t>(3,9 месяца)</t>
  </si>
  <si>
    <t>т. руб</t>
  </si>
  <si>
    <t>Эскизы общего вида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</si>
</sst>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7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4" fontId="0" fillId="0" borderId="0" xfId="0" applyNumberFormat="1"/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86"/>
  <sheetViews>
    <sheetView tabSelected="1" topLeftCell="A58" zoomScaleNormal="100" workbookViewId="0">
      <selection activeCell="F8" sqref="F8"/>
    </sheetView>
  </sheetViews>
  <sheetFormatPr defaultRowHeight="15" x14ac:dyDescent="0.25"/>
  <cols>
    <col min="2" max="2" width="9.140625" style="1"/>
    <col min="3" max="3" width="40.140625" customWidth="1"/>
    <col min="4" max="4" width="19" customWidth="1"/>
    <col min="5" max="5" width="14.140625" style="1" customWidth="1"/>
    <col min="6" max="6" width="9.140625" style="6"/>
  </cols>
  <sheetData>
    <row r="2" spans="2:7" x14ac:dyDescent="0.25">
      <c r="B2" s="7"/>
      <c r="C2" s="8"/>
      <c r="D2" s="8"/>
      <c r="E2" s="7" t="s">
        <v>19</v>
      </c>
      <c r="F2" s="9" t="s">
        <v>27</v>
      </c>
    </row>
    <row r="3" spans="2:7" x14ac:dyDescent="0.25">
      <c r="B3" s="10">
        <v>1</v>
      </c>
      <c r="C3" s="8" t="s">
        <v>0</v>
      </c>
      <c r="D3" s="8"/>
      <c r="E3" s="7"/>
      <c r="F3" s="20"/>
    </row>
    <row r="4" spans="2:7" x14ac:dyDescent="0.25">
      <c r="B4" s="7"/>
      <c r="C4" s="8"/>
      <c r="D4" s="8" t="s">
        <v>1</v>
      </c>
      <c r="E4" s="7">
        <v>2</v>
      </c>
      <c r="F4" s="20"/>
    </row>
    <row r="5" spans="2:7" x14ac:dyDescent="0.25">
      <c r="B5" s="7"/>
      <c r="C5" s="8"/>
      <c r="D5" s="8" t="s">
        <v>2</v>
      </c>
      <c r="E5" s="7">
        <v>5</v>
      </c>
      <c r="F5" s="20"/>
    </row>
    <row r="6" spans="2:7" x14ac:dyDescent="0.25">
      <c r="B6" s="7"/>
      <c r="C6" s="8"/>
      <c r="D6" s="8" t="s">
        <v>3</v>
      </c>
      <c r="E6" s="7">
        <v>5</v>
      </c>
      <c r="F6" s="20"/>
    </row>
    <row r="7" spans="2:7" x14ac:dyDescent="0.25">
      <c r="B7" s="7"/>
      <c r="C7" s="8"/>
      <c r="D7" s="8" t="s">
        <v>4</v>
      </c>
      <c r="E7" s="7">
        <v>5</v>
      </c>
      <c r="F7" s="20"/>
    </row>
    <row r="8" spans="2:7" x14ac:dyDescent="0.25">
      <c r="B8" s="7"/>
      <c r="C8" s="8"/>
      <c r="D8" s="11" t="s">
        <v>24</v>
      </c>
      <c r="E8" s="12">
        <f>SUM(E4:E7)</f>
        <v>17</v>
      </c>
      <c r="F8" s="21">
        <f>E8/22*100</f>
        <v>77.272727272727266</v>
      </c>
      <c r="G8" s="19"/>
    </row>
    <row r="9" spans="2:7" x14ac:dyDescent="0.25">
      <c r="B9" s="7"/>
      <c r="C9" s="8"/>
      <c r="D9" s="8"/>
      <c r="E9" s="7"/>
      <c r="F9" s="20"/>
    </row>
    <row r="10" spans="2:7" x14ac:dyDescent="0.25">
      <c r="B10" s="10">
        <v>2</v>
      </c>
      <c r="C10" s="8" t="s">
        <v>5</v>
      </c>
      <c r="D10" s="8"/>
      <c r="E10" s="7"/>
      <c r="F10" s="20"/>
    </row>
    <row r="11" spans="2:7" x14ac:dyDescent="0.25">
      <c r="B11" s="7"/>
      <c r="C11" s="8"/>
      <c r="D11" s="8" t="s">
        <v>1</v>
      </c>
      <c r="E11" s="7">
        <v>1</v>
      </c>
      <c r="F11" s="20"/>
    </row>
    <row r="12" spans="2:7" x14ac:dyDescent="0.25">
      <c r="B12" s="7"/>
      <c r="C12" s="8"/>
      <c r="D12" s="8" t="s">
        <v>2</v>
      </c>
      <c r="E12" s="7">
        <v>1</v>
      </c>
      <c r="F12" s="20"/>
    </row>
    <row r="13" spans="2:7" x14ac:dyDescent="0.25">
      <c r="B13" s="7"/>
      <c r="C13" s="8"/>
      <c r="D13" s="8" t="s">
        <v>3</v>
      </c>
      <c r="E13" s="7">
        <v>2</v>
      </c>
      <c r="F13" s="20"/>
    </row>
    <row r="14" spans="2:7" x14ac:dyDescent="0.25">
      <c r="B14" s="7"/>
      <c r="C14" s="8"/>
      <c r="D14" s="8" t="s">
        <v>4</v>
      </c>
      <c r="E14" s="7">
        <v>1</v>
      </c>
      <c r="F14" s="20"/>
    </row>
    <row r="15" spans="2:7" x14ac:dyDescent="0.25">
      <c r="B15" s="7"/>
      <c r="C15" s="8"/>
      <c r="D15" s="11" t="s">
        <v>24</v>
      </c>
      <c r="E15" s="12">
        <f>SUM(E11:E14)</f>
        <v>5</v>
      </c>
      <c r="F15" s="22">
        <f>E15/22*100</f>
        <v>22.727272727272727</v>
      </c>
    </row>
    <row r="16" spans="2:7" x14ac:dyDescent="0.25">
      <c r="B16" s="7"/>
      <c r="C16" s="8"/>
      <c r="D16" s="8"/>
      <c r="E16" s="7"/>
      <c r="F16" s="20"/>
    </row>
    <row r="17" spans="2:6" x14ac:dyDescent="0.25">
      <c r="B17" s="13">
        <v>3</v>
      </c>
      <c r="C17" s="8" t="s">
        <v>6</v>
      </c>
      <c r="D17" s="8"/>
      <c r="E17" s="7"/>
      <c r="F17" s="20"/>
    </row>
    <row r="18" spans="2:6" x14ac:dyDescent="0.25">
      <c r="B18" s="7"/>
      <c r="C18" s="8"/>
      <c r="D18" s="8" t="s">
        <v>1</v>
      </c>
      <c r="E18" s="7">
        <v>2</v>
      </c>
      <c r="F18" s="20"/>
    </row>
    <row r="19" spans="2:6" x14ac:dyDescent="0.25">
      <c r="B19" s="7"/>
      <c r="C19" s="8"/>
      <c r="D19" s="8" t="s">
        <v>2</v>
      </c>
      <c r="E19" s="7">
        <v>3</v>
      </c>
      <c r="F19" s="20"/>
    </row>
    <row r="20" spans="2:6" x14ac:dyDescent="0.25">
      <c r="B20" s="7"/>
      <c r="C20" s="8"/>
      <c r="D20" s="8" t="s">
        <v>3</v>
      </c>
      <c r="E20" s="7">
        <v>6</v>
      </c>
      <c r="F20" s="20"/>
    </row>
    <row r="21" spans="2:6" x14ac:dyDescent="0.25">
      <c r="B21" s="7"/>
      <c r="C21" s="8"/>
      <c r="D21" s="8" t="s">
        <v>4</v>
      </c>
      <c r="E21" s="7">
        <v>4</v>
      </c>
      <c r="F21" s="20"/>
    </row>
    <row r="22" spans="2:6" x14ac:dyDescent="0.25">
      <c r="B22" s="7"/>
      <c r="C22" s="8"/>
      <c r="D22" s="11" t="s">
        <v>24</v>
      </c>
      <c r="E22" s="12">
        <f>SUM(E18:E21)</f>
        <v>15</v>
      </c>
      <c r="F22" s="22">
        <f>E22/22*100</f>
        <v>68.181818181818173</v>
      </c>
    </row>
    <row r="23" spans="2:6" x14ac:dyDescent="0.25">
      <c r="B23" s="7"/>
      <c r="C23" s="8"/>
      <c r="D23" s="8"/>
      <c r="E23" s="7"/>
      <c r="F23" s="20"/>
    </row>
    <row r="24" spans="2:6" x14ac:dyDescent="0.25">
      <c r="B24" s="10">
        <v>5</v>
      </c>
      <c r="C24" s="8" t="s">
        <v>7</v>
      </c>
      <c r="D24" s="8"/>
      <c r="E24" s="7"/>
      <c r="F24" s="20"/>
    </row>
    <row r="25" spans="2:6" x14ac:dyDescent="0.25">
      <c r="B25" s="7"/>
      <c r="C25" s="14" t="s">
        <v>9</v>
      </c>
      <c r="D25" s="14" t="s">
        <v>1</v>
      </c>
      <c r="E25" s="15">
        <v>1</v>
      </c>
      <c r="F25" s="20"/>
    </row>
    <row r="26" spans="2:6" x14ac:dyDescent="0.25">
      <c r="B26" s="7"/>
      <c r="C26" s="8"/>
      <c r="D26" s="14" t="s">
        <v>2</v>
      </c>
      <c r="E26" s="15">
        <v>1</v>
      </c>
      <c r="F26" s="20"/>
    </row>
    <row r="27" spans="2:6" x14ac:dyDescent="0.25">
      <c r="B27" s="7"/>
      <c r="C27" s="8"/>
      <c r="D27" s="14" t="s">
        <v>3</v>
      </c>
      <c r="E27" s="15">
        <v>3</v>
      </c>
      <c r="F27" s="20"/>
    </row>
    <row r="28" spans="2:6" x14ac:dyDescent="0.25">
      <c r="B28" s="7"/>
      <c r="C28" s="8"/>
      <c r="D28" s="14" t="s">
        <v>4</v>
      </c>
      <c r="E28" s="15">
        <v>2</v>
      </c>
      <c r="F28" s="20"/>
    </row>
    <row r="29" spans="2:6" x14ac:dyDescent="0.25">
      <c r="B29" s="7"/>
      <c r="C29" s="11" t="s">
        <v>8</v>
      </c>
      <c r="D29" s="8"/>
      <c r="E29" s="7"/>
      <c r="F29" s="20"/>
    </row>
    <row r="30" spans="2:6" x14ac:dyDescent="0.25">
      <c r="B30" s="7"/>
      <c r="C30" s="8" t="s">
        <v>10</v>
      </c>
      <c r="D30" s="8" t="s">
        <v>1</v>
      </c>
      <c r="E30" s="7">
        <v>2</v>
      </c>
      <c r="F30" s="20"/>
    </row>
    <row r="31" spans="2:6" x14ac:dyDescent="0.25">
      <c r="B31" s="7"/>
      <c r="C31" s="8"/>
      <c r="D31" s="8" t="s">
        <v>2</v>
      </c>
      <c r="E31" s="7">
        <v>1</v>
      </c>
      <c r="F31" s="20"/>
    </row>
    <row r="32" spans="2:6" x14ac:dyDescent="0.25">
      <c r="B32" s="7"/>
      <c r="C32" s="8"/>
      <c r="D32" s="8" t="s">
        <v>3</v>
      </c>
      <c r="E32" s="7">
        <v>4</v>
      </c>
      <c r="F32" s="20"/>
    </row>
    <row r="33" spans="2:6" x14ac:dyDescent="0.25">
      <c r="B33" s="7"/>
      <c r="C33" s="8"/>
      <c r="D33" s="8" t="s">
        <v>4</v>
      </c>
      <c r="E33" s="7">
        <v>3</v>
      </c>
      <c r="F33" s="20"/>
    </row>
    <row r="34" spans="2:6" x14ac:dyDescent="0.25">
      <c r="B34" s="7"/>
      <c r="C34" s="8"/>
      <c r="D34" s="11" t="s">
        <v>24</v>
      </c>
      <c r="E34" s="12">
        <f>SUM(E30:E33)</f>
        <v>10</v>
      </c>
      <c r="F34" s="22">
        <f>E34/22*100</f>
        <v>45.454545454545453</v>
      </c>
    </row>
    <row r="35" spans="2:6" x14ac:dyDescent="0.25">
      <c r="B35" s="7"/>
      <c r="C35" s="8"/>
      <c r="D35" s="8"/>
      <c r="E35" s="7"/>
      <c r="F35" s="20"/>
    </row>
    <row r="36" spans="2:6" x14ac:dyDescent="0.25">
      <c r="B36" s="16">
        <v>6</v>
      </c>
      <c r="C36" s="8" t="s">
        <v>11</v>
      </c>
      <c r="D36" s="8"/>
      <c r="E36" s="7"/>
      <c r="F36" s="20"/>
    </row>
    <row r="37" spans="2:6" x14ac:dyDescent="0.25">
      <c r="B37" s="7"/>
      <c r="C37" s="8" t="s">
        <v>13</v>
      </c>
      <c r="D37" s="8" t="s">
        <v>1</v>
      </c>
      <c r="E37" s="7">
        <v>1</v>
      </c>
      <c r="F37" s="20"/>
    </row>
    <row r="38" spans="2:6" x14ac:dyDescent="0.25">
      <c r="B38" s="7"/>
      <c r="C38" s="8"/>
      <c r="D38" s="8" t="s">
        <v>2</v>
      </c>
      <c r="E38" s="7">
        <v>0.5</v>
      </c>
      <c r="F38" s="20"/>
    </row>
    <row r="39" spans="2:6" x14ac:dyDescent="0.25">
      <c r="B39" s="7"/>
      <c r="C39" s="8"/>
      <c r="D39" s="8" t="s">
        <v>3</v>
      </c>
      <c r="E39" s="7">
        <v>0.5</v>
      </c>
      <c r="F39" s="20"/>
    </row>
    <row r="40" spans="2:6" x14ac:dyDescent="0.25">
      <c r="B40" s="7"/>
      <c r="C40" s="8"/>
      <c r="D40" s="8" t="s">
        <v>4</v>
      </c>
      <c r="E40" s="7">
        <v>1</v>
      </c>
      <c r="F40" s="20"/>
    </row>
    <row r="41" spans="2:6" x14ac:dyDescent="0.25">
      <c r="B41" s="7"/>
      <c r="C41" s="8"/>
      <c r="D41" s="11" t="s">
        <v>24</v>
      </c>
      <c r="E41" s="12">
        <f>SUM(E37:E40)</f>
        <v>3</v>
      </c>
      <c r="F41" s="22">
        <f>E41/22*100</f>
        <v>13.636363636363635</v>
      </c>
    </row>
    <row r="42" spans="2:6" x14ac:dyDescent="0.25">
      <c r="B42" s="7"/>
      <c r="C42" s="8"/>
      <c r="D42" s="8"/>
      <c r="E42" s="7"/>
      <c r="F42" s="20"/>
    </row>
    <row r="43" spans="2:6" x14ac:dyDescent="0.25">
      <c r="B43" s="16">
        <v>7</v>
      </c>
      <c r="C43" s="8" t="s">
        <v>12</v>
      </c>
      <c r="D43" s="8"/>
      <c r="E43" s="7"/>
      <c r="F43" s="20"/>
    </row>
    <row r="44" spans="2:6" x14ac:dyDescent="0.25">
      <c r="B44" s="7"/>
      <c r="C44" s="8"/>
      <c r="D44" s="8" t="s">
        <v>1</v>
      </c>
      <c r="E44" s="7">
        <v>1</v>
      </c>
      <c r="F44" s="20"/>
    </row>
    <row r="45" spans="2:6" x14ac:dyDescent="0.25">
      <c r="B45" s="7"/>
      <c r="C45" s="8"/>
      <c r="D45" s="8" t="s">
        <v>2</v>
      </c>
      <c r="E45" s="7">
        <v>1</v>
      </c>
      <c r="F45" s="20"/>
    </row>
    <row r="46" spans="2:6" x14ac:dyDescent="0.25">
      <c r="B46" s="7"/>
      <c r="C46" s="8"/>
      <c r="D46" s="8" t="s">
        <v>3</v>
      </c>
      <c r="E46" s="7">
        <v>2</v>
      </c>
      <c r="F46" s="20"/>
    </row>
    <row r="47" spans="2:6" x14ac:dyDescent="0.25">
      <c r="B47" s="7"/>
      <c r="C47" s="8"/>
      <c r="D47" s="8" t="s">
        <v>4</v>
      </c>
      <c r="E47" s="7">
        <v>1</v>
      </c>
      <c r="F47" s="20"/>
    </row>
    <row r="48" spans="2:6" x14ac:dyDescent="0.25">
      <c r="B48" s="7"/>
      <c r="C48" s="8"/>
      <c r="D48" s="11" t="s">
        <v>24</v>
      </c>
      <c r="E48" s="12">
        <f>SUM(E44:E47)</f>
        <v>5</v>
      </c>
      <c r="F48" s="22">
        <f>E48/22*100</f>
        <v>22.727272727272727</v>
      </c>
    </row>
    <row r="49" spans="2:10" x14ac:dyDescent="0.25">
      <c r="B49" s="7"/>
      <c r="C49" s="8"/>
      <c r="D49" s="8"/>
      <c r="E49" s="7"/>
      <c r="F49" s="20"/>
    </row>
    <row r="50" spans="2:10" x14ac:dyDescent="0.25">
      <c r="B50" s="10">
        <v>8</v>
      </c>
      <c r="C50" s="8" t="s">
        <v>14</v>
      </c>
      <c r="D50" s="8"/>
      <c r="E50" s="7"/>
      <c r="F50" s="20"/>
    </row>
    <row r="51" spans="2:10" x14ac:dyDescent="0.25">
      <c r="B51" s="7"/>
      <c r="C51" s="8" t="s">
        <v>16</v>
      </c>
      <c r="D51" s="8" t="s">
        <v>1</v>
      </c>
      <c r="E51" s="7">
        <v>2</v>
      </c>
      <c r="F51" s="20"/>
    </row>
    <row r="52" spans="2:10" x14ac:dyDescent="0.25">
      <c r="B52" s="7"/>
      <c r="C52" s="8"/>
      <c r="D52" s="8" t="s">
        <v>15</v>
      </c>
      <c r="E52" s="7">
        <v>2</v>
      </c>
      <c r="F52" s="20"/>
    </row>
    <row r="53" spans="2:10" x14ac:dyDescent="0.25">
      <c r="B53" s="7"/>
      <c r="C53" s="8"/>
      <c r="D53" s="8" t="s">
        <v>2</v>
      </c>
      <c r="E53" s="7">
        <v>2</v>
      </c>
      <c r="F53" s="20"/>
      <c r="J53" s="2"/>
    </row>
    <row r="54" spans="2:10" x14ac:dyDescent="0.25">
      <c r="B54" s="7"/>
      <c r="C54" s="8"/>
      <c r="D54" s="8" t="s">
        <v>3</v>
      </c>
      <c r="E54" s="7">
        <v>5</v>
      </c>
      <c r="F54" s="20"/>
    </row>
    <row r="55" spans="2:10" x14ac:dyDescent="0.25">
      <c r="B55" s="7"/>
      <c r="C55" s="8"/>
      <c r="D55" s="8" t="s">
        <v>4</v>
      </c>
      <c r="E55" s="7">
        <v>5</v>
      </c>
      <c r="F55" s="20"/>
    </row>
    <row r="56" spans="2:10" x14ac:dyDescent="0.25">
      <c r="B56" s="7"/>
      <c r="C56" s="11" t="s">
        <v>8</v>
      </c>
      <c r="D56" s="8"/>
      <c r="E56" s="7"/>
      <c r="F56" s="20"/>
    </row>
    <row r="57" spans="2:10" x14ac:dyDescent="0.25">
      <c r="B57" s="7"/>
      <c r="C57" s="14" t="s">
        <v>17</v>
      </c>
      <c r="D57" s="14" t="s">
        <v>1</v>
      </c>
      <c r="E57" s="15">
        <v>2</v>
      </c>
      <c r="F57" s="20"/>
    </row>
    <row r="58" spans="2:10" x14ac:dyDescent="0.25">
      <c r="B58" s="7"/>
      <c r="C58" s="14"/>
      <c r="D58" s="14" t="s">
        <v>15</v>
      </c>
      <c r="E58" s="15">
        <v>2</v>
      </c>
      <c r="F58" s="20"/>
    </row>
    <row r="59" spans="2:10" x14ac:dyDescent="0.25">
      <c r="B59" s="7"/>
      <c r="C59" s="14"/>
      <c r="D59" s="14" t="s">
        <v>2</v>
      </c>
      <c r="E59" s="15">
        <v>1</v>
      </c>
      <c r="F59" s="20"/>
    </row>
    <row r="60" spans="2:10" x14ac:dyDescent="0.25">
      <c r="B60" s="7"/>
      <c r="C60" s="14"/>
      <c r="D60" s="14" t="s">
        <v>3</v>
      </c>
      <c r="E60" s="15">
        <v>2</v>
      </c>
      <c r="F60" s="20"/>
    </row>
    <row r="61" spans="2:10" x14ac:dyDescent="0.25">
      <c r="B61" s="7"/>
      <c r="C61" s="14"/>
      <c r="D61" s="14" t="s">
        <v>4</v>
      </c>
      <c r="E61" s="15">
        <v>2</v>
      </c>
      <c r="F61" s="20"/>
    </row>
    <row r="62" spans="2:10" x14ac:dyDescent="0.25">
      <c r="B62" s="7"/>
      <c r="C62" s="14"/>
      <c r="D62" s="11" t="s">
        <v>24</v>
      </c>
      <c r="E62" s="12">
        <f>SUM(E51:E55)</f>
        <v>16</v>
      </c>
      <c r="F62" s="22">
        <f>E62/22*100</f>
        <v>72.727272727272734</v>
      </c>
    </row>
    <row r="63" spans="2:10" x14ac:dyDescent="0.25">
      <c r="B63" s="7"/>
      <c r="C63" s="8"/>
      <c r="D63" s="8"/>
      <c r="E63" s="7"/>
      <c r="F63" s="20"/>
    </row>
    <row r="64" spans="2:10" x14ac:dyDescent="0.25">
      <c r="B64" s="10">
        <v>9</v>
      </c>
      <c r="C64" s="8" t="s">
        <v>18</v>
      </c>
      <c r="D64" s="8"/>
      <c r="E64" s="7"/>
      <c r="F64" s="20"/>
    </row>
    <row r="65" spans="2:6" x14ac:dyDescent="0.25">
      <c r="B65" s="7"/>
      <c r="C65" s="8"/>
      <c r="D65" s="8" t="s">
        <v>1</v>
      </c>
      <c r="E65" s="7">
        <v>2</v>
      </c>
      <c r="F65" s="20"/>
    </row>
    <row r="66" spans="2:6" x14ac:dyDescent="0.25">
      <c r="B66" s="7"/>
      <c r="C66" s="8"/>
      <c r="D66" s="8" t="s">
        <v>15</v>
      </c>
      <c r="E66" s="7">
        <v>2</v>
      </c>
      <c r="F66" s="20"/>
    </row>
    <row r="67" spans="2:6" x14ac:dyDescent="0.25">
      <c r="B67" s="7"/>
      <c r="C67" s="8"/>
      <c r="D67" s="8" t="s">
        <v>2</v>
      </c>
      <c r="E67" s="7">
        <v>1</v>
      </c>
      <c r="F67" s="20"/>
    </row>
    <row r="68" spans="2:6" x14ac:dyDescent="0.25">
      <c r="B68" s="7"/>
      <c r="C68" s="8"/>
      <c r="D68" s="8" t="s">
        <v>3</v>
      </c>
      <c r="E68" s="7">
        <v>3</v>
      </c>
      <c r="F68" s="20"/>
    </row>
    <row r="69" spans="2:6" x14ac:dyDescent="0.25">
      <c r="B69" s="7"/>
      <c r="C69" s="8"/>
      <c r="D69" s="8" t="s">
        <v>4</v>
      </c>
      <c r="E69" s="7">
        <v>3</v>
      </c>
      <c r="F69" s="20"/>
    </row>
    <row r="70" spans="2:6" x14ac:dyDescent="0.25">
      <c r="B70" s="7"/>
      <c r="C70" s="8"/>
      <c r="D70" s="11" t="s">
        <v>24</v>
      </c>
      <c r="E70" s="12">
        <f>SUM(E65:E69)</f>
        <v>11</v>
      </c>
      <c r="F70" s="22">
        <f>E70/22*100</f>
        <v>50</v>
      </c>
    </row>
    <row r="71" spans="2:6" x14ac:dyDescent="0.25">
      <c r="B71" s="7"/>
      <c r="C71" s="8"/>
      <c r="D71" s="11"/>
      <c r="E71" s="12"/>
      <c r="F71" s="20"/>
    </row>
    <row r="72" spans="2:6" x14ac:dyDescent="0.25">
      <c r="B72" s="10">
        <v>10</v>
      </c>
      <c r="C72" s="8" t="s">
        <v>28</v>
      </c>
      <c r="D72" s="8"/>
      <c r="E72" s="7"/>
      <c r="F72" s="20"/>
    </row>
    <row r="73" spans="2:6" x14ac:dyDescent="0.25">
      <c r="B73" s="7"/>
      <c r="C73" s="8"/>
      <c r="D73" s="8" t="s">
        <v>1</v>
      </c>
      <c r="E73" s="7">
        <v>2</v>
      </c>
      <c r="F73" s="20"/>
    </row>
    <row r="74" spans="2:6" x14ac:dyDescent="0.25">
      <c r="B74" s="7"/>
      <c r="C74" s="8"/>
      <c r="D74" s="8" t="s">
        <v>2</v>
      </c>
      <c r="E74" s="7">
        <v>2</v>
      </c>
      <c r="F74" s="20"/>
    </row>
    <row r="75" spans="2:6" x14ac:dyDescent="0.25">
      <c r="B75" s="7"/>
      <c r="C75" s="8"/>
      <c r="D75" s="17" t="s">
        <v>4</v>
      </c>
      <c r="E75" s="18">
        <v>1</v>
      </c>
      <c r="F75" s="20"/>
    </row>
    <row r="76" spans="2:6" x14ac:dyDescent="0.25">
      <c r="B76" s="7"/>
      <c r="C76" s="8"/>
      <c r="D76" s="11" t="s">
        <v>24</v>
      </c>
      <c r="E76" s="12">
        <f>SUM(E72:E75)</f>
        <v>5</v>
      </c>
      <c r="F76" s="22">
        <f>E76/22*100</f>
        <v>22.727272727272727</v>
      </c>
    </row>
    <row r="77" spans="2:6" x14ac:dyDescent="0.25">
      <c r="B77" s="7"/>
      <c r="C77" s="8"/>
      <c r="D77" s="11"/>
      <c r="E77" s="12"/>
      <c r="F77" s="20"/>
    </row>
    <row r="78" spans="2:6" x14ac:dyDescent="0.25">
      <c r="B78" s="7"/>
      <c r="C78" s="8"/>
      <c r="D78" s="11" t="s">
        <v>25</v>
      </c>
      <c r="E78" s="12">
        <f>SUM(E62,E70,E48,E41,E34,E22,E15,E8,E76)</f>
        <v>87</v>
      </c>
      <c r="F78" s="22">
        <f>SUM(F62,F70,F48,F41,F34,F22,F15,F8,F76)</f>
        <v>395.4545454545455</v>
      </c>
    </row>
    <row r="79" spans="2:6" x14ac:dyDescent="0.25">
      <c r="B79" s="7"/>
      <c r="C79" s="8"/>
      <c r="D79" s="8"/>
      <c r="E79" s="7" t="s">
        <v>26</v>
      </c>
      <c r="F79" s="9"/>
    </row>
    <row r="82" spans="2:3" x14ac:dyDescent="0.25">
      <c r="B82" s="3"/>
      <c r="C82" t="s">
        <v>20</v>
      </c>
    </row>
    <row r="83" spans="2:3" x14ac:dyDescent="0.25">
      <c r="B83" s="4"/>
      <c r="C83" t="s">
        <v>21</v>
      </c>
    </row>
    <row r="84" spans="2:3" x14ac:dyDescent="0.25">
      <c r="B84" s="5"/>
      <c r="C84" t="s">
        <v>22</v>
      </c>
    </row>
    <row r="86" spans="2:3" x14ac:dyDescent="0.25">
      <c r="C86" t="s">
        <v>23</v>
      </c>
    </row>
  </sheetData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Папченко Александр Павлович</dc:creator>
  <cp:lastModifiedBy>Папченко Александр Павлович</cp:lastModifiedBy>
  <cp:lastPrinted>2026-06-10T13:04:45Z</cp:lastPrinted>
  <dcterms:created xsi:type="dcterms:W3CDTF">2015-06-05T18:19:34Z</dcterms:created>
  <dcterms:modified xsi:type="dcterms:W3CDTF">2026-06-15T04:45:48Z</dcterms:modified>
</cp:coreProperties>
</file>